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c\OneDrive\Documents\NewGame+\NewGame-\"/>
    </mc:Choice>
  </mc:AlternateContent>
  <xr:revisionPtr revIDLastSave="0" documentId="13_ncr:1_{017CC16F-B261-493D-B10E-1DD7AB374308}" xr6:coauthVersionLast="47" xr6:coauthVersionMax="47" xr10:uidLastSave="{00000000-0000-0000-0000-000000000000}"/>
  <bookViews>
    <workbookView minimized="1" xWindow="43470" yWindow="2100" windowWidth="19200" windowHeight="9975" xr2:uid="{00000000-000D-0000-FFFF-FFFF00000000}"/>
  </bookViews>
  <sheets>
    <sheet name="Summer holiday" sheetId="13" r:id="rId1"/>
  </sheets>
  <definedNames>
    <definedName name="CalendarYear">'Summer holiday'!$C$3</definedName>
    <definedName name="DaysAndWeeks">{0,1,2,3,4,5,6} + {0;1;2;3;4;5}*7</definedName>
    <definedName name="_xlnm.Print_Area" localSheetId="0">'Summer holiday'!$C$2:$I$36</definedName>
    <definedName name="SepSun1">DATE(CalendarYear,9,1)-WEEKDAY(DATE(CalendarYear,9,1))</definedName>
    <definedName name="WeekStart" localSheetId="0">'Summer holiday'!$C$4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3" l="1"/>
  <c r="C5" i="13" l="1" a="1"/>
  <c r="C5" i="13" s="1"/>
  <c r="I5" i="13" l="1"/>
  <c r="B7" i="13" s="1"/>
  <c r="E5" i="13"/>
  <c r="F5" i="13"/>
  <c r="H5" i="13"/>
  <c r="D5" i="13"/>
  <c r="G5" i="13"/>
  <c r="G4" i="13" l="1"/>
  <c r="H4" i="13"/>
  <c r="D4" i="13"/>
  <c r="E4" i="13"/>
  <c r="F4" i="13"/>
  <c r="I4" i="13" l="1"/>
  <c r="C7" i="13" l="1"/>
  <c r="D7" i="13" s="1"/>
  <c r="E7" i="13" l="1"/>
  <c r="F7" i="13" s="1"/>
  <c r="G7" i="13" s="1"/>
  <c r="H7" i="13" l="1"/>
  <c r="I7" i="13" l="1"/>
  <c r="B9" i="13" s="1"/>
  <c r="C9" i="13" l="1"/>
  <c r="D9" i="13" s="1"/>
  <c r="E9" i="13" s="1"/>
  <c r="F9" i="13" s="1"/>
  <c r="G9" i="13" s="1"/>
  <c r="H9" i="13" s="1"/>
  <c r="I9" i="13" s="1"/>
  <c r="B11" i="13" s="1"/>
  <c r="C11" i="13" l="1"/>
  <c r="D11" i="13" s="1"/>
  <c r="E11" i="13" s="1"/>
  <c r="F11" i="13" s="1"/>
  <c r="G11" i="13" s="1"/>
  <c r="H11" i="13" s="1"/>
  <c r="I11" i="13" s="1"/>
  <c r="B13" i="13" s="1"/>
  <c r="C13" i="13" l="1"/>
  <c r="D13" i="13" s="1"/>
  <c r="E13" i="13" s="1"/>
  <c r="F13" i="13" s="1"/>
  <c r="G13" i="13" s="1"/>
  <c r="H13" i="13" s="1"/>
  <c r="I13" i="13" s="1"/>
  <c r="B15" i="13" s="1"/>
  <c r="C15" i="13" l="1"/>
  <c r="D15" i="13" s="1"/>
  <c r="E15" i="13" s="1"/>
  <c r="F15" i="13" s="1"/>
  <c r="G15" i="13" s="1"/>
  <c r="H15" i="13" s="1"/>
  <c r="I15" i="13" s="1"/>
  <c r="B17" i="13" s="1"/>
  <c r="C17" i="13" l="1"/>
  <c r="D17" i="13" s="1"/>
  <c r="E17" i="13" s="1"/>
  <c r="F17" i="13" s="1"/>
  <c r="G17" i="13" s="1"/>
  <c r="H17" i="13" s="1"/>
  <c r="I17" i="13" l="1"/>
  <c r="B19" i="13" s="1"/>
  <c r="C19" i="13" s="1"/>
  <c r="D19" i="13" s="1"/>
  <c r="E19" i="13" s="1"/>
  <c r="F19" i="13" s="1"/>
  <c r="G19" i="13" s="1"/>
  <c r="H19" i="13" s="1"/>
  <c r="I19" i="13" s="1"/>
  <c r="B21" i="13" s="1"/>
  <c r="C21" i="13" l="1"/>
  <c r="D21" i="13" s="1"/>
  <c r="E21" i="13" s="1"/>
  <c r="F21" i="13" s="1"/>
  <c r="G21" i="13" s="1"/>
  <c r="H21" i="13" s="1"/>
  <c r="I21" i="13" s="1"/>
  <c r="B23" i="13" s="1"/>
  <c r="C23" i="13" l="1"/>
  <c r="D23" i="13" s="1"/>
  <c r="E23" i="13" s="1"/>
  <c r="F23" i="13" s="1"/>
  <c r="G23" i="13" s="1"/>
  <c r="H23" i="13" s="1"/>
  <c r="I23" i="13" s="1"/>
  <c r="B25" i="13" s="1"/>
  <c r="C25" i="13" l="1"/>
  <c r="D25" i="13" s="1"/>
  <c r="E25" i="13" s="1"/>
  <c r="F25" i="13" s="1"/>
  <c r="G25" i="13" s="1"/>
  <c r="H25" i="13" s="1"/>
  <c r="I25" i="13" s="1"/>
  <c r="B27" i="13" s="1"/>
  <c r="C27" i="13" l="1"/>
  <c r="D27" i="13" s="1"/>
  <c r="E27" i="13" s="1"/>
  <c r="F27" i="13" s="1"/>
  <c r="G27" i="13" s="1"/>
  <c r="H27" i="13" s="1"/>
  <c r="I27" i="13" s="1"/>
  <c r="B29" i="13" s="1"/>
  <c r="C29" i="13" l="1"/>
  <c r="D29" i="13" s="1"/>
  <c r="E29" i="13" s="1"/>
  <c r="F29" i="13" s="1"/>
  <c r="G29" i="13" s="1"/>
  <c r="H29" i="13" s="1"/>
  <c r="I29" i="13" s="1"/>
  <c r="B31" i="13" s="1"/>
  <c r="C31" i="13" l="1"/>
  <c r="D31" i="13" s="1"/>
  <c r="E31" i="13" s="1"/>
  <c r="F31" i="13" s="1"/>
  <c r="G31" i="13" s="1"/>
  <c r="H31" i="13" s="1"/>
  <c r="I31" i="13" s="1"/>
  <c r="B33" i="13" s="1"/>
  <c r="C33" i="13" l="1"/>
  <c r="D33" i="13" s="1"/>
  <c r="E33" i="13" s="1"/>
  <c r="F33" i="13" s="1"/>
  <c r="G33" i="13" s="1"/>
  <c r="H33" i="13" s="1"/>
  <c r="I33" i="13" s="1"/>
  <c r="B35" i="13" s="1"/>
  <c r="C35" i="13" l="1"/>
  <c r="D35" i="13" s="1"/>
  <c r="E35" i="13" s="1"/>
  <c r="F35" i="13" s="1"/>
  <c r="G35" i="13" s="1"/>
  <c r="H35" i="13" s="1"/>
  <c r="I35" i="13" s="1"/>
</calcChain>
</file>

<file path=xl/sharedStrings.xml><?xml version="1.0" encoding="utf-8"?>
<sst xmlns="http://schemas.openxmlformats.org/spreadsheetml/2006/main" count="21" uniqueCount="21">
  <si>
    <t>Sunday</t>
  </si>
  <si>
    <t>Drag these emojis to your calendar</t>
  </si>
  <si>
    <t>Summer Break Activity Calendar</t>
  </si>
  <si>
    <t>Finish Level 1</t>
  </si>
  <si>
    <t>Work on Level 3, try to finish it</t>
  </si>
  <si>
    <t>Finish level 3, start absolute solver enemy</t>
  </si>
  <si>
    <t>Finish absolute solver enemy</t>
  </si>
  <si>
    <t>Start Sentinel enemy</t>
  </si>
  <si>
    <t>Finish level 4, start CynTessa</t>
  </si>
  <si>
    <t>Finish CynTessa, start Level 5</t>
  </si>
  <si>
    <t>Finish Level 5, start murder drones</t>
  </si>
  <si>
    <t>Finish murder drones, finish asteroid part of level</t>
  </si>
  <si>
    <t>Start to work on achievements and steam integration</t>
  </si>
  <si>
    <t>Work on multiplayer - until finish</t>
  </si>
  <si>
    <t>Steam Page</t>
  </si>
  <si>
    <r>
      <t xml:space="preserve">Finish gameplay loop, loss and win conditions, </t>
    </r>
    <r>
      <rPr>
        <sz val="10"/>
        <color theme="8"/>
        <rFont val="Avenir Next LT Pro"/>
        <family val="2"/>
        <scheme val="minor"/>
      </rPr>
      <t>Moe Lawn</t>
    </r>
  </si>
  <si>
    <t>Finish Vision Virus Weapon, Call United, Start Level 1</t>
  </si>
  <si>
    <r>
      <t>Finish Reboot kit</t>
    </r>
    <r>
      <rPr>
        <sz val="10"/>
        <color rgb="FF00B050"/>
        <rFont val="Avenir Next LT Pro"/>
        <family val="2"/>
        <scheme val="minor"/>
      </rPr>
      <t>, Start Level 2</t>
    </r>
  </si>
  <si>
    <r>
      <rPr>
        <sz val="10"/>
        <color rgb="FF00B050"/>
        <rFont val="Avenir Next LT Pro"/>
        <family val="2"/>
        <scheme val="minor"/>
      </rPr>
      <t>Finish Level 2</t>
    </r>
    <r>
      <rPr>
        <sz val="10"/>
        <rFont val="Avenir Next LT Pro"/>
        <family val="2"/>
        <scheme val="minor"/>
      </rPr>
      <t xml:space="preserve">, </t>
    </r>
    <r>
      <rPr>
        <sz val="10"/>
        <color rgb="FF00B050"/>
        <rFont val="Avenir Next LT Pro"/>
        <family val="2"/>
        <scheme val="minor"/>
      </rPr>
      <t>Start Trudge Enemy</t>
    </r>
  </si>
  <si>
    <r>
      <rPr>
        <sz val="10"/>
        <color rgb="FF00B050"/>
        <rFont val="Avenir Next LT Pro"/>
        <family val="2"/>
        <scheme val="minor"/>
      </rPr>
      <t>Finish Trudge Enemy</t>
    </r>
    <r>
      <rPr>
        <sz val="10"/>
        <rFont val="Avenir Next LT Pro"/>
        <family val="2"/>
        <scheme val="minor"/>
      </rPr>
      <t xml:space="preserve">, </t>
    </r>
    <r>
      <rPr>
        <sz val="10"/>
        <color rgb="FF00B050"/>
        <rFont val="Avenir Next LT Pro"/>
        <family val="2"/>
        <scheme val="minor"/>
      </rPr>
      <t>Start Level 3</t>
    </r>
    <r>
      <rPr>
        <sz val="10"/>
        <rFont val="Avenir Next LT Pro"/>
        <family val="2"/>
        <scheme val="minor"/>
      </rPr>
      <t xml:space="preserve">, </t>
    </r>
    <r>
      <rPr>
        <sz val="10"/>
        <color theme="8"/>
        <rFont val="Avenir Next LT Pro"/>
        <family val="2"/>
        <scheme val="minor"/>
      </rPr>
      <t>Moe Lawn</t>
    </r>
  </si>
  <si>
    <r>
      <rPr>
        <sz val="10"/>
        <color rgb="FF00B050"/>
        <rFont val="Avenir Next LT Pro"/>
        <family val="2"/>
        <scheme val="minor"/>
      </rPr>
      <t>Finish Sentinels</t>
    </r>
    <r>
      <rPr>
        <sz val="10"/>
        <rFont val="Avenir Next LT Pro"/>
        <family val="2"/>
        <scheme val="minor"/>
      </rPr>
      <t xml:space="preserve">, Start level 4, </t>
    </r>
    <r>
      <rPr>
        <sz val="10"/>
        <color theme="8"/>
        <rFont val="Avenir Next LT Pro"/>
        <family val="2"/>
        <scheme val="minor"/>
      </rPr>
      <t>Moe Lawn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</si>
</sst>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mmmm\ d"/>
  </numFmts>
  <fonts count="25" x14ac:knownFonts="1">
    <font>
      <sz val="10"/>
      <color theme="1"/>
      <name val="Avenir Next LT Pro"/>
      <family val="2"/>
      <scheme val="minor"/>
    </font>
    <font>
      <sz val="11"/>
      <color theme="1"/>
      <name val="Avenir Next LT Pro"/>
      <family val="2"/>
      <scheme val="minor"/>
    </font>
    <font>
      <sz val="11"/>
      <color theme="1"/>
      <name val="Avenir Next LT Pro"/>
      <family val="2"/>
      <scheme val="minor"/>
    </font>
    <font>
      <sz val="11"/>
      <name val="Avenir Next LT Pro"/>
      <family val="2"/>
      <scheme val="minor"/>
    </font>
    <font>
      <sz val="10"/>
      <color theme="1"/>
      <name val="Avenir Next LT Pro"/>
      <family val="2"/>
      <scheme val="minor"/>
    </font>
    <font>
      <sz val="11"/>
      <color theme="1" tint="0.34998626667073579"/>
      <name val="Avenir Next LT Pro"/>
      <family val="2"/>
      <scheme val="minor"/>
    </font>
    <font>
      <sz val="15"/>
      <color theme="1" tint="0.34998626667073579"/>
      <name val="Dreaming Outloud Script Pro"/>
      <family val="1"/>
      <scheme val="major"/>
    </font>
    <font>
      <b/>
      <sz val="26"/>
      <color theme="1" tint="0.34998626667073579"/>
      <name val="Avenir Next LT Pro"/>
      <family val="2"/>
      <scheme val="minor"/>
    </font>
    <font>
      <sz val="11"/>
      <color theme="1" tint="0.24994659260841701"/>
      <name val="Avenir Next LT Pro"/>
      <family val="2"/>
      <scheme val="minor"/>
    </font>
    <font>
      <sz val="11"/>
      <color theme="0" tint="-0.24994659260841701"/>
      <name val="Dreaming Outloud Script Pro"/>
      <family val="1"/>
      <scheme val="major"/>
    </font>
    <font>
      <sz val="9"/>
      <color theme="1" tint="0.34998626667073579"/>
      <name val="Dreaming Outloud Script Pro"/>
      <family val="1"/>
      <scheme val="major"/>
    </font>
    <font>
      <sz val="9"/>
      <color theme="0" tint="-0.24994659260841701"/>
      <name val="Dreaming Outloud Script Pro"/>
      <family val="1"/>
      <scheme val="major"/>
    </font>
    <font>
      <sz val="30"/>
      <color theme="1"/>
      <name val="Avenir Next LT Pro"/>
      <family val="2"/>
      <scheme val="minor"/>
    </font>
    <font>
      <sz val="15"/>
      <color theme="1" tint="0.24994659260841701"/>
      <name val="Dreaming Outloud Script Pro"/>
      <family val="1"/>
      <scheme val="major"/>
    </font>
    <font>
      <sz val="22"/>
      <color theme="1"/>
      <name val="Avenir Next LT Pro"/>
      <family val="2"/>
      <scheme val="minor"/>
    </font>
    <font>
      <sz val="22"/>
      <color theme="4" tint="0.79998168889431442"/>
      <name val="Avenir Next LT Pro"/>
      <family val="2"/>
      <scheme val="minor"/>
    </font>
    <font>
      <sz val="10"/>
      <color theme="4" tint="0.79998168889431442"/>
      <name val="Avenir Next LT Pro"/>
      <family val="2"/>
      <scheme val="minor"/>
    </font>
    <font>
      <sz val="22"/>
      <color theme="1" tint="0.249977111117893"/>
      <name val="Avenir Next LT Pro"/>
      <family val="2"/>
      <scheme val="minor"/>
    </font>
    <font>
      <sz val="10"/>
      <name val="Avenir Next LT Pro"/>
      <family val="2"/>
      <scheme val="minor"/>
    </font>
    <font>
      <sz val="10"/>
      <color theme="1" tint="0.24994659260841701"/>
      <name val="Avenir Next LT Pro"/>
      <family val="2"/>
      <scheme val="minor"/>
    </font>
    <font>
      <b/>
      <sz val="14"/>
      <color theme="1" tint="0.249977111117893"/>
      <name val="Avenir Next LT Pro"/>
      <family val="2"/>
      <scheme val="minor"/>
    </font>
    <font>
      <sz val="48"/>
      <color theme="1" tint="0.14999847407452621"/>
      <name val="Dreaming Outloud Script Pro"/>
      <family val="4"/>
      <scheme val="major"/>
    </font>
    <font>
      <sz val="26"/>
      <color theme="1" tint="0.14999847407452621"/>
      <name val="Dreaming Outloud Script Pro"/>
      <family val="4"/>
      <scheme val="major"/>
    </font>
    <font>
      <sz val="10"/>
      <color theme="8"/>
      <name val="Avenir Next LT Pro"/>
      <family val="2"/>
      <scheme val="minor"/>
    </font>
    <font>
      <sz val="10"/>
      <color rgb="FF00B050"/>
      <name val="Avenir Next LT Pro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0" tint="-4.9989318521683403E-2"/>
        <bgColor auto="1"/>
      </patternFill>
    </fill>
    <fill>
      <gradientFill degree="18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5"/>
      </bottom>
      <diagonal/>
    </border>
    <border>
      <left/>
      <right/>
      <top/>
      <bottom style="thick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4.9989318521683403E-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dotted">
        <color theme="0" tint="-0.14993743705557422"/>
      </left>
      <right style="dotted">
        <color theme="0" tint="-0.14993743705557422"/>
      </right>
      <top/>
      <bottom style="dotted">
        <color theme="0" tint="-0.14993743705557422"/>
      </bottom>
      <diagonal/>
    </border>
    <border>
      <left style="dotted">
        <color theme="0" tint="-0.14993743705557422"/>
      </left>
      <right style="dotted">
        <color theme="0" tint="-0.14993743705557422"/>
      </right>
      <top style="dotted">
        <color theme="0" tint="-0.14993743705557422"/>
      </top>
      <bottom/>
      <diagonal/>
    </border>
    <border>
      <left style="dotted">
        <color theme="0" tint="-0.14993743705557422"/>
      </left>
      <right style="dotted">
        <color theme="0" tint="-0.14993743705557422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1" tint="0.2499465926084170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dotted">
        <color theme="0" tint="-0.14993743705557422"/>
      </left>
      <right style="dotted">
        <color theme="0" tint="-0.14993743705557422"/>
      </right>
      <top/>
      <bottom/>
      <diagonal/>
    </border>
    <border>
      <left style="dotted">
        <color theme="0" tint="-0.14993743705557422"/>
      </left>
      <right/>
      <top/>
      <bottom/>
      <diagonal/>
    </border>
    <border>
      <left style="thin">
        <color theme="1" tint="0.2499465926084170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dotted">
        <color theme="0" tint="-0.14993743705557422"/>
      </left>
      <right style="dotted">
        <color theme="0" tint="-0.14993743705557422"/>
      </right>
      <top/>
      <bottom style="dotted">
        <color theme="0" tint="-0.14990691854609822"/>
      </bottom>
      <diagonal/>
    </border>
  </borders>
  <cellStyleXfs count="17">
    <xf numFmtId="0" fontId="0" fillId="0" borderId="0"/>
    <xf numFmtId="0" fontId="3" fillId="0" borderId="0"/>
    <xf numFmtId="0" fontId="6" fillId="0" borderId="2" applyNumberFormat="0" applyAlignment="0" applyProtection="0"/>
    <xf numFmtId="0" fontId="7" fillId="0" borderId="0">
      <alignment horizontal="left" vertical="top" wrapText="1" indent="1"/>
    </xf>
    <xf numFmtId="0" fontId="13" fillId="0" borderId="1" applyNumberFormat="0" applyAlignment="0" applyProtection="0"/>
    <xf numFmtId="0" fontId="4" fillId="0" borderId="3">
      <alignment horizontal="left" vertical="top" wrapText="1" indent="1" readingOrder="1"/>
    </xf>
    <xf numFmtId="0" fontId="2" fillId="3" borderId="0" applyNumberFormat="0" applyBorder="0" applyAlignment="0" applyProtection="0"/>
    <xf numFmtId="164" fontId="5" fillId="0" borderId="0">
      <alignment horizontal="left" indent="1"/>
    </xf>
    <xf numFmtId="0" fontId="3" fillId="4" borderId="0" applyNumberFormat="0" applyFont="0" applyBorder="0" applyAlignment="0">
      <alignment horizontal="left" vertical="center" indent="1"/>
    </xf>
    <xf numFmtId="0" fontId="8" fillId="0" borderId="5">
      <alignment horizontal="left" vertical="top" wrapText="1" indent="1"/>
    </xf>
    <xf numFmtId="164" fontId="10" fillId="0" borderId="4">
      <alignment horizontal="left" indent="1"/>
    </xf>
    <xf numFmtId="0" fontId="4" fillId="8" borderId="8">
      <alignment horizontal="left" vertical="top" wrapText="1" indent="1"/>
    </xf>
    <xf numFmtId="0" fontId="1" fillId="2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164" fontId="11" fillId="5" borderId="10">
      <alignment horizontal="left" indent="1"/>
    </xf>
    <xf numFmtId="164" fontId="9" fillId="5" borderId="9">
      <alignment horizontal="left" indent="1"/>
    </xf>
  </cellStyleXfs>
  <cellXfs count="52">
    <xf numFmtId="0" fontId="0" fillId="0" borderId="0" xfId="0"/>
    <xf numFmtId="0" fontId="12" fillId="0" borderId="0" xfId="0" applyFont="1"/>
    <xf numFmtId="0" fontId="14" fillId="11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left" vertical="center" indent="1"/>
    </xf>
    <xf numFmtId="165" fontId="18" fillId="5" borderId="17" xfId="15" applyNumberFormat="1" applyFont="1" applyBorder="1" applyAlignment="1">
      <alignment horizontal="left" vertical="center" indent="1"/>
    </xf>
    <xf numFmtId="164" fontId="18" fillId="0" borderId="17" xfId="15" applyFont="1" applyFill="1" applyBorder="1" applyAlignment="1">
      <alignment horizontal="left" vertical="center" indent="1"/>
    </xf>
    <xf numFmtId="164" fontId="18" fillId="0" borderId="18" xfId="15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17" xfId="11" applyFont="1" applyFill="1" applyBorder="1">
      <alignment horizontal="left" vertical="top" wrapText="1" indent="1"/>
    </xf>
    <xf numFmtId="164" fontId="18" fillId="9" borderId="14" xfId="10" applyFont="1" applyFill="1" applyBorder="1" applyAlignment="1">
      <alignment horizontal="left" vertical="center" indent="1"/>
    </xf>
    <xf numFmtId="164" fontId="18" fillId="0" borderId="4" xfId="10" applyFont="1" applyAlignment="1">
      <alignment horizontal="left" vertical="center" indent="1"/>
    </xf>
    <xf numFmtId="0" fontId="0" fillId="0" borderId="18" xfId="11" applyFont="1" applyFill="1" applyBorder="1">
      <alignment horizontal="left" vertical="top" wrapText="1" indent="1"/>
    </xf>
    <xf numFmtId="0" fontId="19" fillId="9" borderId="19" xfId="9" applyFont="1" applyFill="1" applyBorder="1">
      <alignment horizontal="left" vertical="top" wrapText="1" indent="1"/>
    </xf>
    <xf numFmtId="0" fontId="19" fillId="0" borderId="12" xfId="9" applyFont="1" applyBorder="1">
      <alignment horizontal="left" vertical="top" wrapText="1" indent="1"/>
    </xf>
    <xf numFmtId="164" fontId="18" fillId="0" borderId="20" xfId="10" applyFont="1" applyBorder="1" applyAlignment="1">
      <alignment horizontal="left" vertical="center" indent="1"/>
    </xf>
    <xf numFmtId="164" fontId="18" fillId="0" borderId="21" xfId="10" applyFont="1" applyBorder="1" applyAlignment="1">
      <alignment horizontal="left" vertical="center" indent="1"/>
    </xf>
    <xf numFmtId="164" fontId="18" fillId="0" borderId="22" xfId="10" applyFont="1" applyBorder="1" applyAlignment="1">
      <alignment horizontal="left" vertical="center" indent="1"/>
    </xf>
    <xf numFmtId="0" fontId="18" fillId="0" borderId="23" xfId="9" applyFont="1" applyBorder="1">
      <alignment horizontal="left" vertical="top" wrapText="1" indent="1"/>
    </xf>
    <xf numFmtId="0" fontId="18" fillId="0" borderId="24" xfId="9" applyFont="1" applyBorder="1">
      <alignment horizontal="left" vertical="top" wrapText="1" indent="1"/>
    </xf>
    <xf numFmtId="0" fontId="18" fillId="0" borderId="25" xfId="9" applyFont="1" applyBorder="1">
      <alignment horizontal="left" vertical="top" wrapText="1" indent="1"/>
    </xf>
    <xf numFmtId="0" fontId="18" fillId="0" borderId="7" xfId="9" applyFont="1" applyBorder="1">
      <alignment horizontal="left" vertical="top" wrapText="1" indent="1"/>
    </xf>
    <xf numFmtId="0" fontId="18" fillId="0" borderId="13" xfId="9" applyFont="1" applyBorder="1">
      <alignment horizontal="left" vertical="top" wrapText="1" indent="1"/>
    </xf>
    <xf numFmtId="0" fontId="18" fillId="0" borderId="11" xfId="9" applyFont="1" applyBorder="1">
      <alignment horizontal="left" vertical="top" wrapText="1" indent="1"/>
    </xf>
    <xf numFmtId="0" fontId="18" fillId="0" borderId="5" xfId="9" applyFont="1">
      <alignment horizontal="left" vertical="top" wrapText="1" indent="1"/>
    </xf>
    <xf numFmtId="164" fontId="18" fillId="0" borderId="12" xfId="10" applyFont="1" applyBorder="1" applyAlignment="1">
      <alignment horizontal="left" vertical="center" indent="1"/>
    </xf>
    <xf numFmtId="164" fontId="18" fillId="0" borderId="6" xfId="10" applyFont="1" applyBorder="1" applyAlignment="1">
      <alignment horizontal="left" vertical="center" indent="1"/>
    </xf>
    <xf numFmtId="164" fontId="18" fillId="0" borderId="15" xfId="10" applyFont="1" applyBorder="1" applyAlignment="1">
      <alignment horizontal="left" vertical="center" indent="1"/>
    </xf>
    <xf numFmtId="0" fontId="18" fillId="0" borderId="16" xfId="9" applyFont="1" applyBorder="1">
      <alignment horizontal="left" vertical="top" wrapText="1" indent="1"/>
    </xf>
    <xf numFmtId="164" fontId="18" fillId="5" borderId="10" xfId="15" applyFont="1" applyAlignment="1">
      <alignment horizontal="left" vertical="center" indent="1"/>
    </xf>
    <xf numFmtId="0" fontId="18" fillId="8" borderId="8" xfId="11" applyFont="1">
      <alignment horizontal="left" vertical="top" wrapText="1" indent="1"/>
    </xf>
    <xf numFmtId="0" fontId="20" fillId="14" borderId="0" xfId="4" applyFont="1" applyFill="1" applyBorder="1" applyAlignment="1">
      <alignment horizontal="center" vertical="center"/>
    </xf>
    <xf numFmtId="0" fontId="20" fillId="16" borderId="0" xfId="4" applyFont="1" applyFill="1" applyBorder="1" applyAlignment="1">
      <alignment horizontal="center" vertical="center"/>
    </xf>
    <xf numFmtId="0" fontId="20" fillId="12" borderId="0" xfId="4" applyFont="1" applyFill="1" applyBorder="1" applyAlignment="1">
      <alignment horizontal="center" vertical="center"/>
    </xf>
    <xf numFmtId="0" fontId="20" fillId="10" borderId="0" xfId="4" applyFont="1" applyFill="1" applyBorder="1" applyAlignment="1">
      <alignment horizontal="center" vertical="center"/>
    </xf>
    <xf numFmtId="0" fontId="20" fillId="13" borderId="0" xfId="4" applyFont="1" applyFill="1" applyBorder="1" applyAlignment="1">
      <alignment horizontal="center" vertical="center"/>
    </xf>
    <xf numFmtId="14" fontId="0" fillId="11" borderId="0" xfId="0" applyNumberFormat="1" applyFill="1"/>
    <xf numFmtId="14" fontId="15" fillId="11" borderId="0" xfId="0" applyNumberFormat="1" applyFont="1" applyFill="1" applyAlignment="1">
      <alignment horizontal="center" vertical="center"/>
    </xf>
    <xf numFmtId="14" fontId="16" fillId="11" borderId="0" xfId="0" applyNumberFormat="1" applyFont="1" applyFill="1"/>
    <xf numFmtId="14" fontId="16" fillId="11" borderId="0" xfId="0" applyNumberFormat="1" applyFont="1" applyFill="1" applyAlignment="1">
      <alignment horizontal="left" vertical="center" indent="1"/>
    </xf>
    <xf numFmtId="14" fontId="16" fillId="0" borderId="0" xfId="0" applyNumberFormat="1" applyFont="1"/>
    <xf numFmtId="0" fontId="0" fillId="0" borderId="26" xfId="11" applyFont="1" applyFill="1" applyBorder="1">
      <alignment horizontal="left" vertical="top" wrapText="1" indent="1"/>
    </xf>
    <xf numFmtId="0" fontId="24" fillId="17" borderId="5" xfId="9" applyFont="1" applyFill="1">
      <alignment horizontal="left" vertical="top" wrapText="1" indent="1"/>
    </xf>
    <xf numFmtId="0" fontId="24" fillId="0" borderId="5" xfId="9" applyFont="1">
      <alignment horizontal="left" vertical="top" wrapText="1" indent="1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7" fillId="15" borderId="0" xfId="3" applyFont="1" applyFill="1" applyAlignment="1">
      <alignment horizontal="center" vertical="top"/>
    </xf>
    <xf numFmtId="0" fontId="24" fillId="0" borderId="7" xfId="9" applyFont="1" applyBorder="1">
      <alignment horizontal="left" vertical="top" wrapText="1" indent="1"/>
    </xf>
    <xf numFmtId="0" fontId="24" fillId="0" borderId="16" xfId="9" applyFont="1" applyBorder="1">
      <alignment horizontal="left" vertical="top" wrapText="1" indent="1"/>
    </xf>
  </cellXfs>
  <cellStyles count="17">
    <cellStyle name="Accent1" xfId="12" builtinId="29" customBuiltin="1"/>
    <cellStyle name="Accent2" xfId="6" builtinId="33" customBuiltin="1"/>
    <cellStyle name="Accent3" xfId="13" builtinId="37" customBuiltin="1"/>
    <cellStyle name="Accent4" xfId="14" builtinId="41" customBuiltin="1"/>
    <cellStyle name="Banded" xfId="8" xr:uid="{00000000-0005-0000-0000-000004000000}"/>
    <cellStyle name="Day" xfId="7" xr:uid="{00000000-0005-0000-0000-000005000000}"/>
    <cellStyle name="DayFormat" xfId="10" xr:uid="{00000000-0005-0000-0000-000006000000}"/>
    <cellStyle name="DayFormat Inactive" xfId="15" xr:uid="{00000000-0005-0000-0000-000007000000}"/>
    <cellStyle name="DayFormat Inactive 2" xfId="16" xr:uid="{00000000-0005-0000-0000-000008000000}"/>
    <cellStyle name="DayText" xfId="9" xr:uid="{00000000-0005-0000-0000-000009000000}"/>
    <cellStyle name="Explanatory Text" xfId="5" builtinId="53" customBuiltin="1"/>
    <cellStyle name="Heading 1" xfId="4" builtinId="16" customBuiltin="1"/>
    <cellStyle name="Heading 2" xfId="2" builtinId="17" customBuiltin="1"/>
    <cellStyle name="NonEditable" xfId="11" xr:uid="{00000000-0005-0000-0000-00000D000000}"/>
    <cellStyle name="Normal" xfId="0" builtinId="0" customBuiltin="1"/>
    <cellStyle name="Normal 2" xfId="1" xr:uid="{00000000-0005-0000-0000-00000F000000}"/>
    <cellStyle name="Title" xfId="3" builtinId="15" customBuiltin="1"/>
  </cellStyles>
  <dxfs count="8">
    <dxf>
      <fill>
        <patternFill>
          <bgColor theme="4" tint="0.79998168889431442"/>
        </patternFill>
      </fill>
    </dxf>
    <dxf>
      <font>
        <b/>
        <i val="0"/>
      </font>
      <fill>
        <patternFill patternType="none">
          <fgColor auto="1"/>
          <bgColor auto="1"/>
        </patternFill>
      </fill>
      <border>
        <left style="thin">
          <color theme="1" tint="0.24994659260841701"/>
        </left>
        <vertical/>
        <horizontal/>
      </border>
    </dxf>
    <dxf>
      <fill>
        <patternFill>
          <bgColor theme="4" tint="0.79998168889431442"/>
        </patternFill>
      </fill>
    </dxf>
    <dxf>
      <font>
        <b/>
        <i val="0"/>
        <color auto="1"/>
      </font>
      <numFmt numFmtId="165" formatCode="mmmm\ d"/>
      <fill>
        <patternFill patternType="none">
          <fgColor auto="1"/>
          <bgColor auto="1"/>
        </patternFill>
      </fill>
      <border>
        <left style="thin">
          <color theme="1" tint="0.24994659260841701"/>
        </left>
        <vertical/>
        <horizontal/>
      </border>
    </dxf>
    <dxf>
      <fill>
        <patternFill>
          <bgColor theme="5" tint="0.79998168889431442"/>
        </patternFill>
      </fill>
    </dxf>
    <dxf>
      <font>
        <b/>
        <i val="0"/>
      </font>
      <fill>
        <patternFill patternType="none">
          <fgColor auto="1"/>
          <bgColor auto="1"/>
        </patternFill>
      </fill>
      <border>
        <left style="thin">
          <color theme="1" tint="0.24994659260841701"/>
        </left>
        <vertical/>
        <horizontal/>
      </border>
    </dxf>
    <dxf>
      <fill>
        <patternFill>
          <bgColor theme="5" tint="0.79998168889431442"/>
        </patternFill>
      </fill>
    </dxf>
    <dxf>
      <font>
        <b/>
        <i val="0"/>
        <color auto="1"/>
      </font>
      <numFmt numFmtId="165" formatCode="mmmm\ d"/>
      <fill>
        <patternFill patternType="none">
          <fgColor auto="1"/>
          <bgColor auto="1"/>
        </patternFill>
      </fill>
      <border>
        <left style="thin">
          <color theme="1" tint="0.24994659260841701"/>
        </left>
        <vertical/>
        <horizontal/>
      </border>
    </dxf>
  </dxfs>
  <tableStyles count="0" defaultTableStyle="TableStyleMedium2" defaultPivotStyle="PivotStyleLight16"/>
  <colors>
    <mruColors>
      <color rgb="FFEFBD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277146</xdr:colOff>
      <xdr:row>9</xdr:row>
      <xdr:rowOff>105178</xdr:rowOff>
    </xdr:from>
    <xdr:to>
      <xdr:col>15</xdr:col>
      <xdr:colOff>220502</xdr:colOff>
      <xdr:row>10</xdr:row>
      <xdr:rowOff>31137</xdr:rowOff>
    </xdr:to>
    <xdr:grpSp>
      <xdr:nvGrpSpPr>
        <xdr:cNvPr id="274" name="Group 273" descr="Upside down face emoji">
          <a:extLst>
            <a:ext uri="{FF2B5EF4-FFF2-40B4-BE49-F238E27FC236}">
              <a16:creationId xmlns:a16="http://schemas.microsoft.com/office/drawing/2014/main" id="{54C228B7-5CE9-FA33-7A4E-3717FC4239C0}"/>
            </a:ext>
          </a:extLst>
        </xdr:cNvPr>
        <xdr:cNvGrpSpPr>
          <a:grpSpLocks noChangeAspect="1"/>
        </xdr:cNvGrpSpPr>
      </xdr:nvGrpSpPr>
      <xdr:grpSpPr>
        <a:xfrm>
          <a:off x="24124571" y="4759728"/>
          <a:ext cx="486281" cy="564134"/>
          <a:chOff x="8329323" y="2081324"/>
          <a:chExt cx="706245" cy="706245"/>
        </a:xfrm>
      </xdr:grpSpPr>
      <xdr:sp macro="" textlink="">
        <xdr:nvSpPr>
          <xdr:cNvPr id="275" name="Freeform 274">
            <a:extLst>
              <a:ext uri="{FF2B5EF4-FFF2-40B4-BE49-F238E27FC236}">
                <a16:creationId xmlns:a16="http://schemas.microsoft.com/office/drawing/2014/main" id="{10EFB338-5E8E-7811-8CF3-D73C991C5DE8}"/>
              </a:ext>
            </a:extLst>
          </xdr:cNvPr>
          <xdr:cNvSpPr/>
        </xdr:nvSpPr>
        <xdr:spPr>
          <a:xfrm>
            <a:off x="8329323" y="2081324"/>
            <a:ext cx="706244" cy="706244"/>
          </a:xfrm>
          <a:custGeom>
            <a:avLst/>
            <a:gdLst>
              <a:gd name="connsiteX0" fmla="*/ 706244 w 706244"/>
              <a:gd name="connsiteY0" fmla="*/ 353122 h 706244"/>
              <a:gd name="connsiteX1" fmla="*/ 353122 w 706244"/>
              <a:gd name="connsiteY1" fmla="*/ 706244 h 706244"/>
              <a:gd name="connsiteX2" fmla="*/ 0 w 706244"/>
              <a:gd name="connsiteY2" fmla="*/ 353122 h 706244"/>
              <a:gd name="connsiteX3" fmla="*/ 353122 w 706244"/>
              <a:gd name="connsiteY3" fmla="*/ 0 h 706244"/>
              <a:gd name="connsiteX4" fmla="*/ 706244 w 706244"/>
              <a:gd name="connsiteY4" fmla="*/ 353122 h 7062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06244" h="706244">
                <a:moveTo>
                  <a:pt x="706244" y="353122"/>
                </a:moveTo>
                <a:cubicBezTo>
                  <a:pt x="706244" y="548146"/>
                  <a:pt x="548146" y="706244"/>
                  <a:pt x="353122" y="706244"/>
                </a:cubicBezTo>
                <a:cubicBezTo>
                  <a:pt x="158098" y="706244"/>
                  <a:pt x="0" y="548146"/>
                  <a:pt x="0" y="353122"/>
                </a:cubicBezTo>
                <a:cubicBezTo>
                  <a:pt x="0" y="158098"/>
                  <a:pt x="158098" y="0"/>
                  <a:pt x="353122" y="0"/>
                </a:cubicBezTo>
                <a:cubicBezTo>
                  <a:pt x="548146" y="0"/>
                  <a:pt x="706244" y="158098"/>
                  <a:pt x="706244" y="353122"/>
                </a:cubicBezTo>
                <a:close/>
              </a:path>
            </a:pathLst>
          </a:custGeom>
          <a:solidFill>
            <a:srgbClr val="FFB000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76" name="Freeform 275">
            <a:extLst>
              <a:ext uri="{FF2B5EF4-FFF2-40B4-BE49-F238E27FC236}">
                <a16:creationId xmlns:a16="http://schemas.microsoft.com/office/drawing/2014/main" id="{EE1FD45D-D88D-3944-4F3E-69A768D1A6DE}"/>
              </a:ext>
            </a:extLst>
          </xdr:cNvPr>
          <xdr:cNvSpPr/>
        </xdr:nvSpPr>
        <xdr:spPr>
          <a:xfrm>
            <a:off x="8353078" y="2239072"/>
            <a:ext cx="682490" cy="548497"/>
          </a:xfrm>
          <a:custGeom>
            <a:avLst/>
            <a:gdLst>
              <a:gd name="connsiteX0" fmla="*/ 623437 w 682490"/>
              <a:gd name="connsiteY0" fmla="*/ 0 h 548497"/>
              <a:gd name="connsiteX1" fmla="*/ 647189 w 682490"/>
              <a:gd name="connsiteY1" fmla="*/ 126538 h 548497"/>
              <a:gd name="connsiteX2" fmla="*/ 294066 w 682490"/>
              <a:gd name="connsiteY2" fmla="*/ 479659 h 548497"/>
              <a:gd name="connsiteX3" fmla="*/ 0 w 682490"/>
              <a:gd name="connsiteY3" fmla="*/ 321906 h 548497"/>
              <a:gd name="connsiteX4" fmla="*/ 329368 w 682490"/>
              <a:gd name="connsiteY4" fmla="*/ 548497 h 548497"/>
              <a:gd name="connsiteX5" fmla="*/ 682490 w 682490"/>
              <a:gd name="connsiteY5" fmla="*/ 195375 h 548497"/>
              <a:gd name="connsiteX6" fmla="*/ 623437 w 682490"/>
              <a:gd name="connsiteY6" fmla="*/ 0 h 54849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682490" h="548497">
                <a:moveTo>
                  <a:pt x="623437" y="0"/>
                </a:moveTo>
                <a:cubicBezTo>
                  <a:pt x="638558" y="39327"/>
                  <a:pt x="647189" y="81882"/>
                  <a:pt x="647189" y="126538"/>
                </a:cubicBezTo>
                <a:cubicBezTo>
                  <a:pt x="647189" y="321559"/>
                  <a:pt x="489092" y="479659"/>
                  <a:pt x="294066" y="479659"/>
                </a:cubicBezTo>
                <a:cubicBezTo>
                  <a:pt x="171314" y="479659"/>
                  <a:pt x="63280" y="416959"/>
                  <a:pt x="0" y="321906"/>
                </a:cubicBezTo>
                <a:cubicBezTo>
                  <a:pt x="50924" y="454341"/>
                  <a:pt x="178998" y="548497"/>
                  <a:pt x="329368" y="548497"/>
                </a:cubicBezTo>
                <a:cubicBezTo>
                  <a:pt x="524390" y="548497"/>
                  <a:pt x="682490" y="390397"/>
                  <a:pt x="682490" y="195375"/>
                </a:cubicBezTo>
                <a:cubicBezTo>
                  <a:pt x="682490" y="123101"/>
                  <a:pt x="660691" y="55966"/>
                  <a:pt x="623437" y="0"/>
                </a:cubicBezTo>
                <a:close/>
              </a:path>
            </a:pathLst>
          </a:custGeom>
          <a:solidFill>
            <a:srgbClr val="EBA20B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77" name="Freeform 276">
            <a:extLst>
              <a:ext uri="{FF2B5EF4-FFF2-40B4-BE49-F238E27FC236}">
                <a16:creationId xmlns:a16="http://schemas.microsoft.com/office/drawing/2014/main" id="{24885D54-BDEB-8C31-DE9A-B7DE76629E91}"/>
              </a:ext>
            </a:extLst>
          </xdr:cNvPr>
          <xdr:cNvSpPr/>
        </xdr:nvSpPr>
        <xdr:spPr>
          <a:xfrm>
            <a:off x="8509925" y="2528024"/>
            <a:ext cx="60030" cy="60030"/>
          </a:xfrm>
          <a:custGeom>
            <a:avLst/>
            <a:gdLst>
              <a:gd name="connsiteX0" fmla="*/ 60031 w 60030"/>
              <a:gd name="connsiteY0" fmla="*/ 30015 h 60030"/>
              <a:gd name="connsiteX1" fmla="*/ 30015 w 60030"/>
              <a:gd name="connsiteY1" fmla="*/ 60031 h 60030"/>
              <a:gd name="connsiteX2" fmla="*/ 0 w 60030"/>
              <a:gd name="connsiteY2" fmla="*/ 30015 h 60030"/>
              <a:gd name="connsiteX3" fmla="*/ 30015 w 60030"/>
              <a:gd name="connsiteY3" fmla="*/ 0 h 60030"/>
              <a:gd name="connsiteX4" fmla="*/ 60031 w 60030"/>
              <a:gd name="connsiteY4" fmla="*/ 30015 h 600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0030" h="60030">
                <a:moveTo>
                  <a:pt x="60031" y="30015"/>
                </a:moveTo>
                <a:cubicBezTo>
                  <a:pt x="60031" y="46592"/>
                  <a:pt x="46592" y="60031"/>
                  <a:pt x="30015" y="60031"/>
                </a:cubicBezTo>
                <a:cubicBezTo>
                  <a:pt x="13438" y="60031"/>
                  <a:pt x="0" y="46592"/>
                  <a:pt x="0" y="30015"/>
                </a:cubicBezTo>
                <a:cubicBezTo>
                  <a:pt x="0" y="13438"/>
                  <a:pt x="13438" y="0"/>
                  <a:pt x="30015" y="0"/>
                </a:cubicBezTo>
                <a:cubicBezTo>
                  <a:pt x="46592" y="0"/>
                  <a:pt x="60031" y="13438"/>
                  <a:pt x="60031" y="30015"/>
                </a:cubicBezTo>
                <a:close/>
              </a:path>
            </a:pathLst>
          </a:custGeom>
          <a:solidFill>
            <a:srgbClr val="373030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80" name="Freeform 279">
            <a:extLst>
              <a:ext uri="{FF2B5EF4-FFF2-40B4-BE49-F238E27FC236}">
                <a16:creationId xmlns:a16="http://schemas.microsoft.com/office/drawing/2014/main" id="{9E85427E-80E5-C0BD-96D9-C68A9046E1FF}"/>
              </a:ext>
            </a:extLst>
          </xdr:cNvPr>
          <xdr:cNvSpPr/>
        </xdr:nvSpPr>
        <xdr:spPr>
          <a:xfrm>
            <a:off x="8794936" y="2528024"/>
            <a:ext cx="60030" cy="60030"/>
          </a:xfrm>
          <a:custGeom>
            <a:avLst/>
            <a:gdLst>
              <a:gd name="connsiteX0" fmla="*/ 60031 w 60030"/>
              <a:gd name="connsiteY0" fmla="*/ 30015 h 60030"/>
              <a:gd name="connsiteX1" fmla="*/ 30015 w 60030"/>
              <a:gd name="connsiteY1" fmla="*/ 60031 h 60030"/>
              <a:gd name="connsiteX2" fmla="*/ 0 w 60030"/>
              <a:gd name="connsiteY2" fmla="*/ 30015 h 60030"/>
              <a:gd name="connsiteX3" fmla="*/ 30015 w 60030"/>
              <a:gd name="connsiteY3" fmla="*/ 0 h 60030"/>
              <a:gd name="connsiteX4" fmla="*/ 60031 w 60030"/>
              <a:gd name="connsiteY4" fmla="*/ 30015 h 600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0030" h="60030">
                <a:moveTo>
                  <a:pt x="60031" y="30015"/>
                </a:moveTo>
                <a:cubicBezTo>
                  <a:pt x="60031" y="46592"/>
                  <a:pt x="46592" y="60031"/>
                  <a:pt x="30015" y="60031"/>
                </a:cubicBezTo>
                <a:cubicBezTo>
                  <a:pt x="13438" y="60031"/>
                  <a:pt x="0" y="46592"/>
                  <a:pt x="0" y="30015"/>
                </a:cubicBezTo>
                <a:cubicBezTo>
                  <a:pt x="0" y="13438"/>
                  <a:pt x="13438" y="0"/>
                  <a:pt x="30015" y="0"/>
                </a:cubicBezTo>
                <a:cubicBezTo>
                  <a:pt x="46592" y="0"/>
                  <a:pt x="60031" y="13438"/>
                  <a:pt x="60031" y="30015"/>
                </a:cubicBezTo>
                <a:close/>
              </a:path>
            </a:pathLst>
          </a:custGeom>
          <a:solidFill>
            <a:srgbClr val="373030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81" name="Freeform 280">
            <a:extLst>
              <a:ext uri="{FF2B5EF4-FFF2-40B4-BE49-F238E27FC236}">
                <a16:creationId xmlns:a16="http://schemas.microsoft.com/office/drawing/2014/main" id="{FCF391AA-BFEE-A149-F532-196666DB90E1}"/>
              </a:ext>
            </a:extLst>
          </xdr:cNvPr>
          <xdr:cNvSpPr/>
        </xdr:nvSpPr>
        <xdr:spPr>
          <a:xfrm>
            <a:off x="8571747" y="2380270"/>
            <a:ext cx="221398" cy="82638"/>
          </a:xfrm>
          <a:custGeom>
            <a:avLst/>
            <a:gdLst>
              <a:gd name="connsiteX0" fmla="*/ 208171 w 221398"/>
              <a:gd name="connsiteY0" fmla="*/ 82627 h 82638"/>
              <a:gd name="connsiteX1" fmla="*/ 196687 w 221398"/>
              <a:gd name="connsiteY1" fmla="*/ 76024 h 82638"/>
              <a:gd name="connsiteX2" fmla="*/ 110699 w 221398"/>
              <a:gd name="connsiteY2" fmla="*/ 26484 h 82638"/>
              <a:gd name="connsiteX3" fmla="*/ 24714 w 221398"/>
              <a:gd name="connsiteY3" fmla="*/ 76024 h 82638"/>
              <a:gd name="connsiteX4" fmla="*/ 6609 w 221398"/>
              <a:gd name="connsiteY4" fmla="*/ 80851 h 82638"/>
              <a:gd name="connsiteX5" fmla="*/ 1778 w 221398"/>
              <a:gd name="connsiteY5" fmla="*/ 62747 h 82638"/>
              <a:gd name="connsiteX6" fmla="*/ 110699 w 221398"/>
              <a:gd name="connsiteY6" fmla="*/ 0 h 82638"/>
              <a:gd name="connsiteX7" fmla="*/ 219619 w 221398"/>
              <a:gd name="connsiteY7" fmla="*/ 62747 h 82638"/>
              <a:gd name="connsiteX8" fmla="*/ 214792 w 221398"/>
              <a:gd name="connsiteY8" fmla="*/ 80851 h 82638"/>
              <a:gd name="connsiteX9" fmla="*/ 208171 w 221398"/>
              <a:gd name="connsiteY9" fmla="*/ 82627 h 8263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221398" h="82638">
                <a:moveTo>
                  <a:pt x="208171" y="82627"/>
                </a:moveTo>
                <a:cubicBezTo>
                  <a:pt x="203602" y="82627"/>
                  <a:pt x="199153" y="80265"/>
                  <a:pt x="196687" y="76024"/>
                </a:cubicBezTo>
                <a:cubicBezTo>
                  <a:pt x="179014" y="45469"/>
                  <a:pt x="146064" y="26484"/>
                  <a:pt x="110699" y="26484"/>
                </a:cubicBezTo>
                <a:cubicBezTo>
                  <a:pt x="75337" y="26484"/>
                  <a:pt x="42383" y="45469"/>
                  <a:pt x="24714" y="76024"/>
                </a:cubicBezTo>
                <a:cubicBezTo>
                  <a:pt x="21041" y="82352"/>
                  <a:pt x="12986" y="84524"/>
                  <a:pt x="6609" y="80851"/>
                </a:cubicBezTo>
                <a:cubicBezTo>
                  <a:pt x="281" y="77179"/>
                  <a:pt x="-1876" y="69074"/>
                  <a:pt x="1778" y="62747"/>
                </a:cubicBezTo>
                <a:cubicBezTo>
                  <a:pt x="24176" y="24055"/>
                  <a:pt x="65923" y="0"/>
                  <a:pt x="110699" y="0"/>
                </a:cubicBezTo>
                <a:cubicBezTo>
                  <a:pt x="155478" y="0"/>
                  <a:pt x="197221" y="24055"/>
                  <a:pt x="219619" y="62747"/>
                </a:cubicBezTo>
                <a:cubicBezTo>
                  <a:pt x="223274" y="69074"/>
                  <a:pt x="221120" y="77179"/>
                  <a:pt x="214792" y="80851"/>
                </a:cubicBezTo>
                <a:cubicBezTo>
                  <a:pt x="212705" y="82059"/>
                  <a:pt x="210413" y="82627"/>
                  <a:pt x="208171" y="82627"/>
                </a:cubicBezTo>
                <a:close/>
              </a:path>
            </a:pathLst>
          </a:custGeom>
          <a:solidFill>
            <a:srgbClr val="373030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  <xdr:twoCellAnchor editAs="oneCell">
    <xdr:from>
      <xdr:col>14</xdr:col>
      <xdr:colOff>278924</xdr:colOff>
      <xdr:row>10</xdr:row>
      <xdr:rowOff>215907</xdr:rowOff>
    </xdr:from>
    <xdr:to>
      <xdr:col>15</xdr:col>
      <xdr:colOff>218725</xdr:colOff>
      <xdr:row>11</xdr:row>
      <xdr:rowOff>523171</xdr:rowOff>
    </xdr:to>
    <xdr:grpSp>
      <xdr:nvGrpSpPr>
        <xdr:cNvPr id="2081" name="Group 2080" descr="Crying emoji">
          <a:extLst>
            <a:ext uri="{FF2B5EF4-FFF2-40B4-BE49-F238E27FC236}">
              <a16:creationId xmlns:a16="http://schemas.microsoft.com/office/drawing/2014/main" id="{FB16A1BE-EE2C-74E9-51CB-F691A363E30E}"/>
            </a:ext>
          </a:extLst>
        </xdr:cNvPr>
        <xdr:cNvGrpSpPr>
          <a:grpSpLocks noChangeAspect="1"/>
        </xdr:cNvGrpSpPr>
      </xdr:nvGrpSpPr>
      <xdr:grpSpPr>
        <a:xfrm>
          <a:off x="24126349" y="5514982"/>
          <a:ext cx="489076" cy="564439"/>
          <a:chOff x="5742877" y="3075877"/>
          <a:chExt cx="706245" cy="706245"/>
        </a:xfrm>
      </xdr:grpSpPr>
      <xdr:sp macro="" textlink="">
        <xdr:nvSpPr>
          <xdr:cNvPr id="2109" name="Freeform 2108">
            <a:extLst>
              <a:ext uri="{FF2B5EF4-FFF2-40B4-BE49-F238E27FC236}">
                <a16:creationId xmlns:a16="http://schemas.microsoft.com/office/drawing/2014/main" id="{EA590482-11F1-A02D-68C9-F29D1EE74ADE}"/>
              </a:ext>
            </a:extLst>
          </xdr:cNvPr>
          <xdr:cNvSpPr/>
        </xdr:nvSpPr>
        <xdr:spPr>
          <a:xfrm>
            <a:off x="5742877" y="3075877"/>
            <a:ext cx="706244" cy="706244"/>
          </a:xfrm>
          <a:custGeom>
            <a:avLst/>
            <a:gdLst>
              <a:gd name="connsiteX0" fmla="*/ 706244 w 706244"/>
              <a:gd name="connsiteY0" fmla="*/ 353122 h 706244"/>
              <a:gd name="connsiteX1" fmla="*/ 353122 w 706244"/>
              <a:gd name="connsiteY1" fmla="*/ 706244 h 706244"/>
              <a:gd name="connsiteX2" fmla="*/ 0 w 706244"/>
              <a:gd name="connsiteY2" fmla="*/ 353122 h 706244"/>
              <a:gd name="connsiteX3" fmla="*/ 353122 w 706244"/>
              <a:gd name="connsiteY3" fmla="*/ 0 h 706244"/>
              <a:gd name="connsiteX4" fmla="*/ 706244 w 706244"/>
              <a:gd name="connsiteY4" fmla="*/ 353122 h 7062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06244" h="706244">
                <a:moveTo>
                  <a:pt x="706244" y="353122"/>
                </a:moveTo>
                <a:cubicBezTo>
                  <a:pt x="706244" y="548146"/>
                  <a:pt x="548146" y="706244"/>
                  <a:pt x="353122" y="706244"/>
                </a:cubicBezTo>
                <a:cubicBezTo>
                  <a:pt x="158098" y="706244"/>
                  <a:pt x="0" y="548146"/>
                  <a:pt x="0" y="353122"/>
                </a:cubicBezTo>
                <a:cubicBezTo>
                  <a:pt x="0" y="158098"/>
                  <a:pt x="158098" y="0"/>
                  <a:pt x="353122" y="0"/>
                </a:cubicBezTo>
                <a:cubicBezTo>
                  <a:pt x="548146" y="0"/>
                  <a:pt x="706244" y="158098"/>
                  <a:pt x="706244" y="353122"/>
                </a:cubicBezTo>
                <a:close/>
              </a:path>
            </a:pathLst>
          </a:custGeom>
          <a:solidFill>
            <a:srgbClr val="FFB000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110" name="Freeform 2109">
            <a:extLst>
              <a:ext uri="{FF2B5EF4-FFF2-40B4-BE49-F238E27FC236}">
                <a16:creationId xmlns:a16="http://schemas.microsoft.com/office/drawing/2014/main" id="{5E68D488-3E9C-BF64-7CE2-B185C8098B62}"/>
              </a:ext>
            </a:extLst>
          </xdr:cNvPr>
          <xdr:cNvSpPr/>
        </xdr:nvSpPr>
        <xdr:spPr>
          <a:xfrm>
            <a:off x="5766632" y="3233625"/>
            <a:ext cx="682490" cy="548497"/>
          </a:xfrm>
          <a:custGeom>
            <a:avLst/>
            <a:gdLst>
              <a:gd name="connsiteX0" fmla="*/ 623433 w 682490"/>
              <a:gd name="connsiteY0" fmla="*/ 0 h 548497"/>
              <a:gd name="connsiteX1" fmla="*/ 647189 w 682490"/>
              <a:gd name="connsiteY1" fmla="*/ 126534 h 548497"/>
              <a:gd name="connsiteX2" fmla="*/ 294066 w 682490"/>
              <a:gd name="connsiteY2" fmla="*/ 479656 h 548497"/>
              <a:gd name="connsiteX3" fmla="*/ 0 w 682490"/>
              <a:gd name="connsiteY3" fmla="*/ 321902 h 548497"/>
              <a:gd name="connsiteX4" fmla="*/ 329368 w 682490"/>
              <a:gd name="connsiteY4" fmla="*/ 548497 h 548497"/>
              <a:gd name="connsiteX5" fmla="*/ 682490 w 682490"/>
              <a:gd name="connsiteY5" fmla="*/ 195375 h 548497"/>
              <a:gd name="connsiteX6" fmla="*/ 623433 w 682490"/>
              <a:gd name="connsiteY6" fmla="*/ 0 h 54849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682490" h="548497">
                <a:moveTo>
                  <a:pt x="623433" y="0"/>
                </a:moveTo>
                <a:cubicBezTo>
                  <a:pt x="638558" y="39327"/>
                  <a:pt x="647189" y="81878"/>
                  <a:pt x="647189" y="126534"/>
                </a:cubicBezTo>
                <a:cubicBezTo>
                  <a:pt x="647189" y="321556"/>
                  <a:pt x="489089" y="479656"/>
                  <a:pt x="294066" y="479656"/>
                </a:cubicBezTo>
                <a:cubicBezTo>
                  <a:pt x="171310" y="479656"/>
                  <a:pt x="63280" y="416959"/>
                  <a:pt x="0" y="321902"/>
                </a:cubicBezTo>
                <a:cubicBezTo>
                  <a:pt x="50924" y="454337"/>
                  <a:pt x="178998" y="548497"/>
                  <a:pt x="329368" y="548497"/>
                </a:cubicBezTo>
                <a:cubicBezTo>
                  <a:pt x="524390" y="548497"/>
                  <a:pt x="682490" y="390397"/>
                  <a:pt x="682490" y="195375"/>
                </a:cubicBezTo>
                <a:cubicBezTo>
                  <a:pt x="682490" y="123101"/>
                  <a:pt x="660691" y="55962"/>
                  <a:pt x="623433" y="0"/>
                </a:cubicBezTo>
                <a:close/>
              </a:path>
            </a:pathLst>
          </a:custGeom>
          <a:solidFill>
            <a:srgbClr val="EBA20B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grpSp>
        <xdr:nvGrpSpPr>
          <xdr:cNvPr id="2111" name="Graphic 928">
            <a:extLst>
              <a:ext uri="{FF2B5EF4-FFF2-40B4-BE49-F238E27FC236}">
                <a16:creationId xmlns:a16="http://schemas.microsoft.com/office/drawing/2014/main" id="{D5C880DB-014C-E9E3-36B1-64A342A16997}"/>
              </a:ext>
            </a:extLst>
          </xdr:cNvPr>
          <xdr:cNvGrpSpPr/>
        </xdr:nvGrpSpPr>
        <xdr:grpSpPr>
          <a:xfrm>
            <a:off x="5883007" y="3300923"/>
            <a:ext cx="425984" cy="77178"/>
            <a:chOff x="5883007" y="3300923"/>
            <a:chExt cx="425984" cy="77178"/>
          </a:xfrm>
          <a:solidFill>
            <a:srgbClr val="373030"/>
          </a:solidFill>
        </xdr:grpSpPr>
        <xdr:sp macro="" textlink="">
          <xdr:nvSpPr>
            <xdr:cNvPr id="272" name="Freeform 271">
              <a:extLst>
                <a:ext uri="{FF2B5EF4-FFF2-40B4-BE49-F238E27FC236}">
                  <a16:creationId xmlns:a16="http://schemas.microsoft.com/office/drawing/2014/main" id="{EF91EB46-5FCD-2667-0792-6ED29CD97ABE}"/>
                </a:ext>
              </a:extLst>
            </xdr:cNvPr>
            <xdr:cNvSpPr/>
          </xdr:nvSpPr>
          <xdr:spPr>
            <a:xfrm>
              <a:off x="5883007" y="3300923"/>
              <a:ext cx="117158" cy="77178"/>
            </a:xfrm>
            <a:custGeom>
              <a:avLst/>
              <a:gdLst>
                <a:gd name="connsiteX0" fmla="*/ 115580 w 117158"/>
                <a:gd name="connsiteY0" fmla="*/ 70081 h 77178"/>
                <a:gd name="connsiteX1" fmla="*/ 116035 w 117158"/>
                <a:gd name="connsiteY1" fmla="*/ 69243 h 77178"/>
                <a:gd name="connsiteX2" fmla="*/ 116472 w 117158"/>
                <a:gd name="connsiteY2" fmla="*/ 67949 h 77178"/>
                <a:gd name="connsiteX3" fmla="*/ 116842 w 117158"/>
                <a:gd name="connsiteY3" fmla="*/ 66757 h 77178"/>
                <a:gd name="connsiteX4" fmla="*/ 116982 w 117158"/>
                <a:gd name="connsiteY4" fmla="*/ 65687 h 77178"/>
                <a:gd name="connsiteX5" fmla="*/ 117142 w 117158"/>
                <a:gd name="connsiteY5" fmla="*/ 64098 h 77178"/>
                <a:gd name="connsiteX6" fmla="*/ 117158 w 117158"/>
                <a:gd name="connsiteY6" fmla="*/ 63936 h 77178"/>
                <a:gd name="connsiteX7" fmla="*/ 117068 w 117158"/>
                <a:gd name="connsiteY7" fmla="*/ 63039 h 77178"/>
                <a:gd name="connsiteX8" fmla="*/ 116972 w 117158"/>
                <a:gd name="connsiteY8" fmla="*/ 61658 h 77178"/>
                <a:gd name="connsiteX9" fmla="*/ 116896 w 117158"/>
                <a:gd name="connsiteY9" fmla="*/ 61323 h 77178"/>
                <a:gd name="connsiteX10" fmla="*/ 116863 w 117158"/>
                <a:gd name="connsiteY10" fmla="*/ 61182 h 77178"/>
                <a:gd name="connsiteX11" fmla="*/ 31689 w 117158"/>
                <a:gd name="connsiteY11" fmla="*/ 0 h 77178"/>
                <a:gd name="connsiteX12" fmla="*/ 30570 w 117158"/>
                <a:gd name="connsiteY12" fmla="*/ 0 h 77178"/>
                <a:gd name="connsiteX13" fmla="*/ 17465 w 117158"/>
                <a:gd name="connsiteY13" fmla="*/ 13380 h 77178"/>
                <a:gd name="connsiteX14" fmla="*/ 30708 w 117158"/>
                <a:gd name="connsiteY14" fmla="*/ 26483 h 77178"/>
                <a:gd name="connsiteX15" fmla="*/ 31689 w 117158"/>
                <a:gd name="connsiteY15" fmla="*/ 26483 h 77178"/>
                <a:gd name="connsiteX16" fmla="*/ 83865 w 117158"/>
                <a:gd name="connsiteY16" fmla="*/ 50694 h 77178"/>
                <a:gd name="connsiteX17" fmla="*/ 13243 w 117158"/>
                <a:gd name="connsiteY17" fmla="*/ 50694 h 77178"/>
                <a:gd name="connsiteX18" fmla="*/ 0 w 117158"/>
                <a:gd name="connsiteY18" fmla="*/ 63936 h 77178"/>
                <a:gd name="connsiteX19" fmla="*/ 13243 w 117158"/>
                <a:gd name="connsiteY19" fmla="*/ 77178 h 77178"/>
                <a:gd name="connsiteX20" fmla="*/ 103917 w 117158"/>
                <a:gd name="connsiteY20" fmla="*/ 77178 h 77178"/>
                <a:gd name="connsiteX21" fmla="*/ 104091 w 117158"/>
                <a:gd name="connsiteY21" fmla="*/ 77160 h 77178"/>
                <a:gd name="connsiteX22" fmla="*/ 106177 w 117158"/>
                <a:gd name="connsiteY22" fmla="*/ 76970 h 77178"/>
                <a:gd name="connsiteX23" fmla="*/ 106286 w 117158"/>
                <a:gd name="connsiteY23" fmla="*/ 76939 h 77178"/>
                <a:gd name="connsiteX24" fmla="*/ 108232 w 117158"/>
                <a:gd name="connsiteY24" fmla="*/ 76397 h 77178"/>
                <a:gd name="connsiteX25" fmla="*/ 108846 w 117158"/>
                <a:gd name="connsiteY25" fmla="*/ 76207 h 77178"/>
                <a:gd name="connsiteX26" fmla="*/ 110479 w 117158"/>
                <a:gd name="connsiteY26" fmla="*/ 75372 h 77178"/>
                <a:gd name="connsiteX27" fmla="*/ 111156 w 117158"/>
                <a:gd name="connsiteY27" fmla="*/ 75005 h 77178"/>
                <a:gd name="connsiteX28" fmla="*/ 112489 w 117158"/>
                <a:gd name="connsiteY28" fmla="*/ 73951 h 77178"/>
                <a:gd name="connsiteX29" fmla="*/ 113147 w 117158"/>
                <a:gd name="connsiteY29" fmla="*/ 73407 h 77178"/>
                <a:gd name="connsiteX30" fmla="*/ 114239 w 117158"/>
                <a:gd name="connsiteY30" fmla="*/ 72136 h 77178"/>
                <a:gd name="connsiteX31" fmla="*/ 114785 w 117158"/>
                <a:gd name="connsiteY31" fmla="*/ 71474 h 77178"/>
                <a:gd name="connsiteX32" fmla="*/ 115580 w 117158"/>
                <a:gd name="connsiteY32" fmla="*/ 70080 h 7717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</a:cxnLst>
              <a:rect l="l" t="t" r="r" b="b"/>
              <a:pathLst>
                <a:path w="117158" h="77178">
                  <a:moveTo>
                    <a:pt x="115580" y="70081"/>
                  </a:moveTo>
                  <a:cubicBezTo>
                    <a:pt x="115729" y="69799"/>
                    <a:pt x="115905" y="69535"/>
                    <a:pt x="116035" y="69243"/>
                  </a:cubicBezTo>
                  <a:cubicBezTo>
                    <a:pt x="116216" y="68829"/>
                    <a:pt x="116333" y="68385"/>
                    <a:pt x="116472" y="67949"/>
                  </a:cubicBezTo>
                  <a:cubicBezTo>
                    <a:pt x="116599" y="67551"/>
                    <a:pt x="116752" y="67167"/>
                    <a:pt x="116842" y="66757"/>
                  </a:cubicBezTo>
                  <a:cubicBezTo>
                    <a:pt x="116917" y="66409"/>
                    <a:pt x="116935" y="66044"/>
                    <a:pt x="116982" y="65687"/>
                  </a:cubicBezTo>
                  <a:cubicBezTo>
                    <a:pt x="117054" y="65161"/>
                    <a:pt x="117136" y="64638"/>
                    <a:pt x="117142" y="64098"/>
                  </a:cubicBezTo>
                  <a:lnTo>
                    <a:pt x="117158" y="63936"/>
                  </a:lnTo>
                  <a:cubicBezTo>
                    <a:pt x="117158" y="63629"/>
                    <a:pt x="117089" y="63341"/>
                    <a:pt x="117068" y="63039"/>
                  </a:cubicBezTo>
                  <a:cubicBezTo>
                    <a:pt x="117037" y="62578"/>
                    <a:pt x="117051" y="62123"/>
                    <a:pt x="116972" y="61658"/>
                  </a:cubicBezTo>
                  <a:cubicBezTo>
                    <a:pt x="116952" y="61547"/>
                    <a:pt x="116916" y="61434"/>
                    <a:pt x="116896" y="61323"/>
                  </a:cubicBezTo>
                  <a:lnTo>
                    <a:pt x="116863" y="61182"/>
                  </a:lnTo>
                  <a:cubicBezTo>
                    <a:pt x="111405" y="31288"/>
                    <a:pt x="79885" y="0"/>
                    <a:pt x="31689" y="0"/>
                  </a:cubicBezTo>
                  <a:lnTo>
                    <a:pt x="30570" y="0"/>
                  </a:lnTo>
                  <a:cubicBezTo>
                    <a:pt x="23260" y="70"/>
                    <a:pt x="17395" y="6069"/>
                    <a:pt x="17465" y="13380"/>
                  </a:cubicBezTo>
                  <a:cubicBezTo>
                    <a:pt x="17533" y="20657"/>
                    <a:pt x="23448" y="26483"/>
                    <a:pt x="30708" y="26483"/>
                  </a:cubicBezTo>
                  <a:cubicBezTo>
                    <a:pt x="30930" y="26417"/>
                    <a:pt x="31347" y="26483"/>
                    <a:pt x="31689" y="26483"/>
                  </a:cubicBezTo>
                  <a:cubicBezTo>
                    <a:pt x="57179" y="26483"/>
                    <a:pt x="74730" y="38054"/>
                    <a:pt x="83865" y="50694"/>
                  </a:cubicBezTo>
                  <a:lnTo>
                    <a:pt x="13243" y="50694"/>
                  </a:lnTo>
                  <a:cubicBezTo>
                    <a:pt x="5928" y="50694"/>
                    <a:pt x="0" y="56622"/>
                    <a:pt x="0" y="63936"/>
                  </a:cubicBezTo>
                  <a:cubicBezTo>
                    <a:pt x="0" y="71245"/>
                    <a:pt x="5928" y="77178"/>
                    <a:pt x="13243" y="77178"/>
                  </a:cubicBezTo>
                  <a:lnTo>
                    <a:pt x="103917" y="77178"/>
                  </a:lnTo>
                  <a:lnTo>
                    <a:pt x="104091" y="77160"/>
                  </a:lnTo>
                  <a:cubicBezTo>
                    <a:pt x="104786" y="77150"/>
                    <a:pt x="105482" y="77095"/>
                    <a:pt x="106177" y="76970"/>
                  </a:cubicBezTo>
                  <a:lnTo>
                    <a:pt x="106286" y="76939"/>
                  </a:lnTo>
                  <a:cubicBezTo>
                    <a:pt x="106959" y="76817"/>
                    <a:pt x="107598" y="76617"/>
                    <a:pt x="108232" y="76397"/>
                  </a:cubicBezTo>
                  <a:cubicBezTo>
                    <a:pt x="108435" y="76328"/>
                    <a:pt x="108649" y="76285"/>
                    <a:pt x="108846" y="76207"/>
                  </a:cubicBezTo>
                  <a:cubicBezTo>
                    <a:pt x="109418" y="75976"/>
                    <a:pt x="109949" y="75677"/>
                    <a:pt x="110479" y="75372"/>
                  </a:cubicBezTo>
                  <a:cubicBezTo>
                    <a:pt x="110701" y="75245"/>
                    <a:pt x="110942" y="75145"/>
                    <a:pt x="111156" y="75005"/>
                  </a:cubicBezTo>
                  <a:cubicBezTo>
                    <a:pt x="111632" y="74692"/>
                    <a:pt x="112059" y="74320"/>
                    <a:pt x="112489" y="73951"/>
                  </a:cubicBezTo>
                  <a:cubicBezTo>
                    <a:pt x="112706" y="73765"/>
                    <a:pt x="112944" y="73606"/>
                    <a:pt x="113147" y="73407"/>
                  </a:cubicBezTo>
                  <a:cubicBezTo>
                    <a:pt x="113548" y="73017"/>
                    <a:pt x="113890" y="72574"/>
                    <a:pt x="114239" y="72136"/>
                  </a:cubicBezTo>
                  <a:cubicBezTo>
                    <a:pt x="114417" y="71912"/>
                    <a:pt x="114622" y="71709"/>
                    <a:pt x="114785" y="71474"/>
                  </a:cubicBezTo>
                  <a:cubicBezTo>
                    <a:pt x="115091" y="71036"/>
                    <a:pt x="115330" y="70555"/>
                    <a:pt x="115580" y="70080"/>
                  </a:cubicBezTo>
                  <a:close/>
                </a:path>
              </a:pathLst>
            </a:custGeom>
            <a:solidFill>
              <a:srgbClr val="373030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73" name="Freeform 272">
              <a:extLst>
                <a:ext uri="{FF2B5EF4-FFF2-40B4-BE49-F238E27FC236}">
                  <a16:creationId xmlns:a16="http://schemas.microsoft.com/office/drawing/2014/main" id="{C853A126-5FEA-424A-0702-63CAB891E315}"/>
                </a:ext>
              </a:extLst>
            </xdr:cNvPr>
            <xdr:cNvSpPr/>
          </xdr:nvSpPr>
          <xdr:spPr>
            <a:xfrm>
              <a:off x="6188471" y="3300923"/>
              <a:ext cx="120520" cy="77178"/>
            </a:xfrm>
            <a:custGeom>
              <a:avLst/>
              <a:gdLst>
                <a:gd name="connsiteX0" fmla="*/ 107279 w 120520"/>
                <a:gd name="connsiteY0" fmla="*/ 50694 h 77178"/>
                <a:gd name="connsiteX1" fmla="*/ 33293 w 120520"/>
                <a:gd name="connsiteY1" fmla="*/ 50694 h 77178"/>
                <a:gd name="connsiteX2" fmla="*/ 85470 w 120520"/>
                <a:gd name="connsiteY2" fmla="*/ 26483 h 77178"/>
                <a:gd name="connsiteX3" fmla="*/ 86452 w 120520"/>
                <a:gd name="connsiteY3" fmla="*/ 26483 h 77178"/>
                <a:gd name="connsiteX4" fmla="*/ 99694 w 120520"/>
                <a:gd name="connsiteY4" fmla="*/ 13380 h 77178"/>
                <a:gd name="connsiteX5" fmla="*/ 86589 w 120520"/>
                <a:gd name="connsiteY5" fmla="*/ 0 h 77178"/>
                <a:gd name="connsiteX6" fmla="*/ 85470 w 120520"/>
                <a:gd name="connsiteY6" fmla="*/ 0 h 77178"/>
                <a:gd name="connsiteX7" fmla="*/ 296 w 120520"/>
                <a:gd name="connsiteY7" fmla="*/ 61182 h 77178"/>
                <a:gd name="connsiteX8" fmla="*/ 264 w 120520"/>
                <a:gd name="connsiteY8" fmla="*/ 61323 h 77178"/>
                <a:gd name="connsiteX9" fmla="*/ 188 w 120520"/>
                <a:gd name="connsiteY9" fmla="*/ 61658 h 77178"/>
                <a:gd name="connsiteX10" fmla="*/ 90 w 120520"/>
                <a:gd name="connsiteY10" fmla="*/ 63039 h 77178"/>
                <a:gd name="connsiteX11" fmla="*/ 0 w 120520"/>
                <a:gd name="connsiteY11" fmla="*/ 63936 h 77178"/>
                <a:gd name="connsiteX12" fmla="*/ 16 w 120520"/>
                <a:gd name="connsiteY12" fmla="*/ 64098 h 77178"/>
                <a:gd name="connsiteX13" fmla="*/ 177 w 120520"/>
                <a:gd name="connsiteY13" fmla="*/ 65687 h 77178"/>
                <a:gd name="connsiteX14" fmla="*/ 317 w 120520"/>
                <a:gd name="connsiteY14" fmla="*/ 66757 h 77178"/>
                <a:gd name="connsiteX15" fmla="*/ 687 w 120520"/>
                <a:gd name="connsiteY15" fmla="*/ 67949 h 77178"/>
                <a:gd name="connsiteX16" fmla="*/ 1125 w 120520"/>
                <a:gd name="connsiteY16" fmla="*/ 69243 h 77178"/>
                <a:gd name="connsiteX17" fmla="*/ 1579 w 120520"/>
                <a:gd name="connsiteY17" fmla="*/ 70081 h 77178"/>
                <a:gd name="connsiteX18" fmla="*/ 2374 w 120520"/>
                <a:gd name="connsiteY18" fmla="*/ 71474 h 77178"/>
                <a:gd name="connsiteX19" fmla="*/ 2924 w 120520"/>
                <a:gd name="connsiteY19" fmla="*/ 72140 h 77178"/>
                <a:gd name="connsiteX20" fmla="*/ 4011 w 120520"/>
                <a:gd name="connsiteY20" fmla="*/ 73406 h 77178"/>
                <a:gd name="connsiteX21" fmla="*/ 4679 w 120520"/>
                <a:gd name="connsiteY21" fmla="*/ 73958 h 77178"/>
                <a:gd name="connsiteX22" fmla="*/ 6003 w 120520"/>
                <a:gd name="connsiteY22" fmla="*/ 75005 h 77178"/>
                <a:gd name="connsiteX23" fmla="*/ 6685 w 120520"/>
                <a:gd name="connsiteY23" fmla="*/ 75375 h 77178"/>
                <a:gd name="connsiteX24" fmla="*/ 8313 w 120520"/>
                <a:gd name="connsiteY24" fmla="*/ 76207 h 77178"/>
                <a:gd name="connsiteX25" fmla="*/ 8928 w 120520"/>
                <a:gd name="connsiteY25" fmla="*/ 76397 h 77178"/>
                <a:gd name="connsiteX26" fmla="*/ 10874 w 120520"/>
                <a:gd name="connsiteY26" fmla="*/ 76939 h 77178"/>
                <a:gd name="connsiteX27" fmla="*/ 10982 w 120520"/>
                <a:gd name="connsiteY27" fmla="*/ 76970 h 77178"/>
                <a:gd name="connsiteX28" fmla="*/ 13101 w 120520"/>
                <a:gd name="connsiteY28" fmla="*/ 77164 h 77178"/>
                <a:gd name="connsiteX29" fmla="*/ 13243 w 120520"/>
                <a:gd name="connsiteY29" fmla="*/ 77178 h 77178"/>
                <a:gd name="connsiteX30" fmla="*/ 107279 w 120520"/>
                <a:gd name="connsiteY30" fmla="*/ 77178 h 77178"/>
                <a:gd name="connsiteX31" fmla="*/ 120521 w 120520"/>
                <a:gd name="connsiteY31" fmla="*/ 63936 h 77178"/>
                <a:gd name="connsiteX32" fmla="*/ 107279 w 120520"/>
                <a:gd name="connsiteY32" fmla="*/ 50694 h 7717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</a:cxnLst>
              <a:rect l="l" t="t" r="r" b="b"/>
              <a:pathLst>
                <a:path w="120520" h="77178">
                  <a:moveTo>
                    <a:pt x="107279" y="50694"/>
                  </a:moveTo>
                  <a:lnTo>
                    <a:pt x="33293" y="50694"/>
                  </a:lnTo>
                  <a:cubicBezTo>
                    <a:pt x="42427" y="38054"/>
                    <a:pt x="59980" y="26483"/>
                    <a:pt x="85470" y="26483"/>
                  </a:cubicBezTo>
                  <a:cubicBezTo>
                    <a:pt x="85781" y="26483"/>
                    <a:pt x="86176" y="26448"/>
                    <a:pt x="86452" y="26483"/>
                  </a:cubicBezTo>
                  <a:cubicBezTo>
                    <a:pt x="93712" y="26483"/>
                    <a:pt x="99623" y="20658"/>
                    <a:pt x="99694" y="13380"/>
                  </a:cubicBezTo>
                  <a:cubicBezTo>
                    <a:pt x="99761" y="6069"/>
                    <a:pt x="93899" y="70"/>
                    <a:pt x="86589" y="0"/>
                  </a:cubicBezTo>
                  <a:lnTo>
                    <a:pt x="85470" y="0"/>
                  </a:lnTo>
                  <a:cubicBezTo>
                    <a:pt x="37274" y="0"/>
                    <a:pt x="5754" y="31288"/>
                    <a:pt x="296" y="61182"/>
                  </a:cubicBezTo>
                  <a:lnTo>
                    <a:pt x="264" y="61323"/>
                  </a:lnTo>
                  <a:cubicBezTo>
                    <a:pt x="244" y="61435"/>
                    <a:pt x="207" y="61547"/>
                    <a:pt x="188" y="61658"/>
                  </a:cubicBezTo>
                  <a:cubicBezTo>
                    <a:pt x="108" y="62123"/>
                    <a:pt x="121" y="62578"/>
                    <a:pt x="90" y="63039"/>
                  </a:cubicBezTo>
                  <a:cubicBezTo>
                    <a:pt x="70" y="63341"/>
                    <a:pt x="0" y="63629"/>
                    <a:pt x="0" y="63936"/>
                  </a:cubicBezTo>
                  <a:lnTo>
                    <a:pt x="16" y="64098"/>
                  </a:lnTo>
                  <a:cubicBezTo>
                    <a:pt x="24" y="64638"/>
                    <a:pt x="105" y="65161"/>
                    <a:pt x="177" y="65687"/>
                  </a:cubicBezTo>
                  <a:cubicBezTo>
                    <a:pt x="225" y="66044"/>
                    <a:pt x="242" y="66409"/>
                    <a:pt x="317" y="66757"/>
                  </a:cubicBezTo>
                  <a:cubicBezTo>
                    <a:pt x="408" y="67167"/>
                    <a:pt x="559" y="67551"/>
                    <a:pt x="687" y="67949"/>
                  </a:cubicBezTo>
                  <a:cubicBezTo>
                    <a:pt x="827" y="68385"/>
                    <a:pt x="943" y="68829"/>
                    <a:pt x="1125" y="69243"/>
                  </a:cubicBezTo>
                  <a:cubicBezTo>
                    <a:pt x="1253" y="69535"/>
                    <a:pt x="1431" y="69799"/>
                    <a:pt x="1579" y="70081"/>
                  </a:cubicBezTo>
                  <a:cubicBezTo>
                    <a:pt x="1830" y="70555"/>
                    <a:pt x="2069" y="71036"/>
                    <a:pt x="2374" y="71474"/>
                  </a:cubicBezTo>
                  <a:cubicBezTo>
                    <a:pt x="2538" y="71710"/>
                    <a:pt x="2744" y="71915"/>
                    <a:pt x="2924" y="72140"/>
                  </a:cubicBezTo>
                  <a:cubicBezTo>
                    <a:pt x="3272" y="72578"/>
                    <a:pt x="3612" y="73018"/>
                    <a:pt x="4011" y="73406"/>
                  </a:cubicBezTo>
                  <a:cubicBezTo>
                    <a:pt x="4217" y="73608"/>
                    <a:pt x="4459" y="73770"/>
                    <a:pt x="4679" y="73958"/>
                  </a:cubicBezTo>
                  <a:cubicBezTo>
                    <a:pt x="5106" y="74325"/>
                    <a:pt x="5529" y="74694"/>
                    <a:pt x="6003" y="75005"/>
                  </a:cubicBezTo>
                  <a:cubicBezTo>
                    <a:pt x="6218" y="75145"/>
                    <a:pt x="6460" y="75246"/>
                    <a:pt x="6685" y="75375"/>
                  </a:cubicBezTo>
                  <a:cubicBezTo>
                    <a:pt x="7213" y="75679"/>
                    <a:pt x="7742" y="75977"/>
                    <a:pt x="8313" y="76207"/>
                  </a:cubicBezTo>
                  <a:cubicBezTo>
                    <a:pt x="8511" y="76286"/>
                    <a:pt x="8725" y="76328"/>
                    <a:pt x="8928" y="76397"/>
                  </a:cubicBezTo>
                  <a:cubicBezTo>
                    <a:pt x="9561" y="76617"/>
                    <a:pt x="10200" y="76817"/>
                    <a:pt x="10874" y="76939"/>
                  </a:cubicBezTo>
                  <a:lnTo>
                    <a:pt x="10982" y="76970"/>
                  </a:lnTo>
                  <a:cubicBezTo>
                    <a:pt x="11690" y="77098"/>
                    <a:pt x="12397" y="77154"/>
                    <a:pt x="13101" y="77164"/>
                  </a:cubicBezTo>
                  <a:lnTo>
                    <a:pt x="13243" y="77178"/>
                  </a:lnTo>
                  <a:lnTo>
                    <a:pt x="107279" y="77178"/>
                  </a:lnTo>
                  <a:cubicBezTo>
                    <a:pt x="114592" y="77178"/>
                    <a:pt x="120521" y="71245"/>
                    <a:pt x="120521" y="63936"/>
                  </a:cubicBezTo>
                  <a:cubicBezTo>
                    <a:pt x="120521" y="56622"/>
                    <a:pt x="114592" y="50694"/>
                    <a:pt x="107279" y="50694"/>
                  </a:cubicBezTo>
                  <a:close/>
                </a:path>
              </a:pathLst>
            </a:custGeom>
            <a:solidFill>
              <a:srgbClr val="373030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grpSp>
        <xdr:nvGrpSpPr>
          <xdr:cNvPr id="265" name="Graphic 928">
            <a:extLst>
              <a:ext uri="{FF2B5EF4-FFF2-40B4-BE49-F238E27FC236}">
                <a16:creationId xmlns:a16="http://schemas.microsoft.com/office/drawing/2014/main" id="{BE7991FE-9AED-F988-75A5-6D69C32ADB24}"/>
              </a:ext>
            </a:extLst>
          </xdr:cNvPr>
          <xdr:cNvGrpSpPr/>
        </xdr:nvGrpSpPr>
        <xdr:grpSpPr>
          <a:xfrm>
            <a:off x="5893025" y="3182743"/>
            <a:ext cx="405948" cy="60899"/>
            <a:chOff x="5893025" y="3182743"/>
            <a:chExt cx="405948" cy="60899"/>
          </a:xfrm>
          <a:solidFill>
            <a:srgbClr val="373030"/>
          </a:solidFill>
        </xdr:grpSpPr>
        <xdr:sp macro="" textlink="">
          <xdr:nvSpPr>
            <xdr:cNvPr id="270" name="Freeform 269">
              <a:extLst>
                <a:ext uri="{FF2B5EF4-FFF2-40B4-BE49-F238E27FC236}">
                  <a16:creationId xmlns:a16="http://schemas.microsoft.com/office/drawing/2014/main" id="{293D642D-7722-6513-BD5F-8032EF00234C}"/>
                </a:ext>
              </a:extLst>
            </xdr:cNvPr>
            <xdr:cNvSpPr/>
          </xdr:nvSpPr>
          <xdr:spPr>
            <a:xfrm>
              <a:off x="6238074" y="3182743"/>
              <a:ext cx="60899" cy="60899"/>
            </a:xfrm>
            <a:custGeom>
              <a:avLst/>
              <a:gdLst>
                <a:gd name="connsiteX0" fmla="*/ 47657 w 60899"/>
                <a:gd name="connsiteY0" fmla="*/ 60899 h 60899"/>
                <a:gd name="connsiteX1" fmla="*/ 0 w 60899"/>
                <a:gd name="connsiteY1" fmla="*/ 13242 h 60899"/>
                <a:gd name="connsiteX2" fmla="*/ 13243 w 60899"/>
                <a:gd name="connsiteY2" fmla="*/ 0 h 60899"/>
                <a:gd name="connsiteX3" fmla="*/ 26484 w 60899"/>
                <a:gd name="connsiteY3" fmla="*/ 13242 h 60899"/>
                <a:gd name="connsiteX4" fmla="*/ 47657 w 60899"/>
                <a:gd name="connsiteY4" fmla="*/ 34415 h 60899"/>
                <a:gd name="connsiteX5" fmla="*/ 60899 w 60899"/>
                <a:gd name="connsiteY5" fmla="*/ 47657 h 60899"/>
                <a:gd name="connsiteX6" fmla="*/ 47657 w 60899"/>
                <a:gd name="connsiteY6" fmla="*/ 60899 h 60899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60899" h="60899">
                  <a:moveTo>
                    <a:pt x="47657" y="60899"/>
                  </a:moveTo>
                  <a:cubicBezTo>
                    <a:pt x="21382" y="60899"/>
                    <a:pt x="0" y="39521"/>
                    <a:pt x="0" y="13242"/>
                  </a:cubicBezTo>
                  <a:cubicBezTo>
                    <a:pt x="0" y="5932"/>
                    <a:pt x="5932" y="0"/>
                    <a:pt x="13243" y="0"/>
                  </a:cubicBezTo>
                  <a:cubicBezTo>
                    <a:pt x="20555" y="0"/>
                    <a:pt x="26484" y="5932"/>
                    <a:pt x="26484" y="13242"/>
                  </a:cubicBezTo>
                  <a:cubicBezTo>
                    <a:pt x="26484" y="24934"/>
                    <a:pt x="35986" y="34415"/>
                    <a:pt x="47657" y="34415"/>
                  </a:cubicBezTo>
                  <a:cubicBezTo>
                    <a:pt x="54971" y="34415"/>
                    <a:pt x="60899" y="40348"/>
                    <a:pt x="60899" y="47657"/>
                  </a:cubicBezTo>
                  <a:cubicBezTo>
                    <a:pt x="60899" y="54971"/>
                    <a:pt x="54971" y="60899"/>
                    <a:pt x="47657" y="60899"/>
                  </a:cubicBezTo>
                  <a:close/>
                </a:path>
              </a:pathLst>
            </a:custGeom>
            <a:solidFill>
              <a:srgbClr val="373030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71" name="Freeform 270">
              <a:extLst>
                <a:ext uri="{FF2B5EF4-FFF2-40B4-BE49-F238E27FC236}">
                  <a16:creationId xmlns:a16="http://schemas.microsoft.com/office/drawing/2014/main" id="{E214DD43-38B6-328C-78CA-09D1E60EB29C}"/>
                </a:ext>
              </a:extLst>
            </xdr:cNvPr>
            <xdr:cNvSpPr/>
          </xdr:nvSpPr>
          <xdr:spPr>
            <a:xfrm>
              <a:off x="5893025" y="3182743"/>
              <a:ext cx="60899" cy="60899"/>
            </a:xfrm>
            <a:custGeom>
              <a:avLst/>
              <a:gdLst>
                <a:gd name="connsiteX0" fmla="*/ 13243 w 60899"/>
                <a:gd name="connsiteY0" fmla="*/ 60899 h 60899"/>
                <a:gd name="connsiteX1" fmla="*/ 0 w 60899"/>
                <a:gd name="connsiteY1" fmla="*/ 47657 h 60899"/>
                <a:gd name="connsiteX2" fmla="*/ 13243 w 60899"/>
                <a:gd name="connsiteY2" fmla="*/ 34415 h 60899"/>
                <a:gd name="connsiteX3" fmla="*/ 34416 w 60899"/>
                <a:gd name="connsiteY3" fmla="*/ 13242 h 60899"/>
                <a:gd name="connsiteX4" fmla="*/ 47657 w 60899"/>
                <a:gd name="connsiteY4" fmla="*/ 0 h 60899"/>
                <a:gd name="connsiteX5" fmla="*/ 60900 w 60899"/>
                <a:gd name="connsiteY5" fmla="*/ 13242 h 60899"/>
                <a:gd name="connsiteX6" fmla="*/ 13243 w 60899"/>
                <a:gd name="connsiteY6" fmla="*/ 60899 h 60899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60899" h="60899">
                  <a:moveTo>
                    <a:pt x="13243" y="60899"/>
                  </a:moveTo>
                  <a:cubicBezTo>
                    <a:pt x="5929" y="60899"/>
                    <a:pt x="0" y="54971"/>
                    <a:pt x="0" y="47657"/>
                  </a:cubicBezTo>
                  <a:cubicBezTo>
                    <a:pt x="0" y="40348"/>
                    <a:pt x="5929" y="34415"/>
                    <a:pt x="13243" y="34415"/>
                  </a:cubicBezTo>
                  <a:cubicBezTo>
                    <a:pt x="24914" y="34415"/>
                    <a:pt x="34416" y="24934"/>
                    <a:pt x="34416" y="13242"/>
                  </a:cubicBezTo>
                  <a:cubicBezTo>
                    <a:pt x="34416" y="5932"/>
                    <a:pt x="40345" y="0"/>
                    <a:pt x="47657" y="0"/>
                  </a:cubicBezTo>
                  <a:cubicBezTo>
                    <a:pt x="54968" y="0"/>
                    <a:pt x="60900" y="5932"/>
                    <a:pt x="60900" y="13242"/>
                  </a:cubicBezTo>
                  <a:cubicBezTo>
                    <a:pt x="60900" y="39521"/>
                    <a:pt x="39518" y="60899"/>
                    <a:pt x="13243" y="60899"/>
                  </a:cubicBezTo>
                  <a:close/>
                </a:path>
              </a:pathLst>
            </a:custGeom>
            <a:solidFill>
              <a:srgbClr val="373030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grpSp>
        <xdr:nvGrpSpPr>
          <xdr:cNvPr id="266" name="Graphic 928">
            <a:extLst>
              <a:ext uri="{FF2B5EF4-FFF2-40B4-BE49-F238E27FC236}">
                <a16:creationId xmlns:a16="http://schemas.microsoft.com/office/drawing/2014/main" id="{DCE07E51-CFF5-DF97-B14B-E7FFF97E27BF}"/>
              </a:ext>
            </a:extLst>
          </xdr:cNvPr>
          <xdr:cNvGrpSpPr/>
        </xdr:nvGrpSpPr>
        <xdr:grpSpPr>
          <a:xfrm>
            <a:off x="5882697" y="3429928"/>
            <a:ext cx="426605" cy="248841"/>
            <a:chOff x="5882697" y="3429928"/>
            <a:chExt cx="426605" cy="248841"/>
          </a:xfrm>
        </xdr:grpSpPr>
        <xdr:sp macro="" textlink="">
          <xdr:nvSpPr>
            <xdr:cNvPr id="267" name="Freeform 266">
              <a:extLst>
                <a:ext uri="{FF2B5EF4-FFF2-40B4-BE49-F238E27FC236}">
                  <a16:creationId xmlns:a16="http://schemas.microsoft.com/office/drawing/2014/main" id="{0375D496-F142-9D55-657B-0D1C2AF9D3BD}"/>
                </a:ext>
              </a:extLst>
            </xdr:cNvPr>
            <xdr:cNvSpPr/>
          </xdr:nvSpPr>
          <xdr:spPr>
            <a:xfrm>
              <a:off x="5900352" y="3447585"/>
              <a:ext cx="391294" cy="213518"/>
            </a:xfrm>
            <a:custGeom>
              <a:avLst/>
              <a:gdLst>
                <a:gd name="connsiteX0" fmla="*/ 195647 w 391294"/>
                <a:gd name="connsiteY0" fmla="*/ 116523 h 213518"/>
                <a:gd name="connsiteX1" fmla="*/ 318189 w 391294"/>
                <a:gd name="connsiteY1" fmla="*/ 212212 h 213518"/>
                <a:gd name="connsiteX2" fmla="*/ 378674 w 391294"/>
                <a:gd name="connsiteY2" fmla="*/ 203768 h 213518"/>
                <a:gd name="connsiteX3" fmla="*/ 391295 w 391294"/>
                <a:gd name="connsiteY3" fmla="*/ 163389 h 213518"/>
                <a:gd name="connsiteX4" fmla="*/ 195647 w 391294"/>
                <a:gd name="connsiteY4" fmla="*/ 0 h 213518"/>
                <a:gd name="connsiteX5" fmla="*/ 0 w 391294"/>
                <a:gd name="connsiteY5" fmla="*/ 163389 h 213518"/>
                <a:gd name="connsiteX6" fmla="*/ 12621 w 391294"/>
                <a:gd name="connsiteY6" fmla="*/ 203768 h 213518"/>
                <a:gd name="connsiteX7" fmla="*/ 73102 w 391294"/>
                <a:gd name="connsiteY7" fmla="*/ 212233 h 213518"/>
                <a:gd name="connsiteX8" fmla="*/ 195647 w 391294"/>
                <a:gd name="connsiteY8" fmla="*/ 116523 h 21351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391294" h="213518">
                  <a:moveTo>
                    <a:pt x="195647" y="116523"/>
                  </a:moveTo>
                  <a:cubicBezTo>
                    <a:pt x="258121" y="116523"/>
                    <a:pt x="309805" y="158230"/>
                    <a:pt x="318189" y="212212"/>
                  </a:cubicBezTo>
                  <a:cubicBezTo>
                    <a:pt x="345468" y="214765"/>
                    <a:pt x="366783" y="214232"/>
                    <a:pt x="378674" y="203768"/>
                  </a:cubicBezTo>
                  <a:cubicBezTo>
                    <a:pt x="387156" y="196286"/>
                    <a:pt x="391295" y="183079"/>
                    <a:pt x="391295" y="163389"/>
                  </a:cubicBezTo>
                  <a:cubicBezTo>
                    <a:pt x="391295" y="73280"/>
                    <a:pt x="303533" y="0"/>
                    <a:pt x="195647" y="0"/>
                  </a:cubicBezTo>
                  <a:cubicBezTo>
                    <a:pt x="87761" y="0"/>
                    <a:pt x="0" y="73280"/>
                    <a:pt x="0" y="163389"/>
                  </a:cubicBezTo>
                  <a:cubicBezTo>
                    <a:pt x="0" y="183079"/>
                    <a:pt x="4139" y="196286"/>
                    <a:pt x="12621" y="203768"/>
                  </a:cubicBezTo>
                  <a:cubicBezTo>
                    <a:pt x="24521" y="214257"/>
                    <a:pt x="45829" y="214796"/>
                    <a:pt x="73102" y="212233"/>
                  </a:cubicBezTo>
                  <a:cubicBezTo>
                    <a:pt x="81475" y="158241"/>
                    <a:pt x="133165" y="116523"/>
                    <a:pt x="195647" y="116523"/>
                  </a:cubicBezTo>
                  <a:close/>
                </a:path>
              </a:pathLst>
            </a:custGeom>
            <a:solidFill>
              <a:srgbClr val="8F83AB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68" name="Freeform 267">
              <a:extLst>
                <a:ext uri="{FF2B5EF4-FFF2-40B4-BE49-F238E27FC236}">
                  <a16:creationId xmlns:a16="http://schemas.microsoft.com/office/drawing/2014/main" id="{013EA657-29F3-976F-BB7C-8CEDE5D1F4E0}"/>
                </a:ext>
              </a:extLst>
            </xdr:cNvPr>
            <xdr:cNvSpPr/>
          </xdr:nvSpPr>
          <xdr:spPr>
            <a:xfrm>
              <a:off x="5991689" y="3581763"/>
              <a:ext cx="208618" cy="76084"/>
            </a:xfrm>
            <a:custGeom>
              <a:avLst/>
              <a:gdLst>
                <a:gd name="connsiteX0" fmla="*/ 104310 w 208618"/>
                <a:gd name="connsiteY0" fmla="*/ 0 h 76084"/>
                <a:gd name="connsiteX1" fmla="*/ 0 w 208618"/>
                <a:gd name="connsiteY1" fmla="*/ 76085 h 76084"/>
                <a:gd name="connsiteX2" fmla="*/ 14995 w 208618"/>
                <a:gd name="connsiteY2" fmla="*/ 74212 h 76084"/>
                <a:gd name="connsiteX3" fmla="*/ 104310 w 208618"/>
                <a:gd name="connsiteY3" fmla="*/ 66934 h 76084"/>
                <a:gd name="connsiteX4" fmla="*/ 193625 w 208618"/>
                <a:gd name="connsiteY4" fmla="*/ 74212 h 76084"/>
                <a:gd name="connsiteX5" fmla="*/ 208618 w 208618"/>
                <a:gd name="connsiteY5" fmla="*/ 76073 h 76084"/>
                <a:gd name="connsiteX6" fmla="*/ 104310 w 208618"/>
                <a:gd name="connsiteY6" fmla="*/ 0 h 7608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208618" h="76084">
                  <a:moveTo>
                    <a:pt x="104310" y="0"/>
                  </a:moveTo>
                  <a:cubicBezTo>
                    <a:pt x="52469" y="0"/>
                    <a:pt x="9262" y="32844"/>
                    <a:pt x="0" y="76085"/>
                  </a:cubicBezTo>
                  <a:cubicBezTo>
                    <a:pt x="4866" y="75495"/>
                    <a:pt x="9856" y="74865"/>
                    <a:pt x="14995" y="74212"/>
                  </a:cubicBezTo>
                  <a:cubicBezTo>
                    <a:pt x="41790" y="70797"/>
                    <a:pt x="72169" y="66934"/>
                    <a:pt x="104310" y="66934"/>
                  </a:cubicBezTo>
                  <a:cubicBezTo>
                    <a:pt x="136451" y="66934"/>
                    <a:pt x="166830" y="70797"/>
                    <a:pt x="193625" y="74212"/>
                  </a:cubicBezTo>
                  <a:cubicBezTo>
                    <a:pt x="198764" y="74860"/>
                    <a:pt x="203753" y="75487"/>
                    <a:pt x="208618" y="76073"/>
                  </a:cubicBezTo>
                  <a:cubicBezTo>
                    <a:pt x="199352" y="32838"/>
                    <a:pt x="156146" y="0"/>
                    <a:pt x="104310" y="0"/>
                  </a:cubicBezTo>
                  <a:close/>
                </a:path>
              </a:pathLst>
            </a:custGeom>
            <a:solidFill>
              <a:srgbClr val="FF7B89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69" name="Freeform 268">
              <a:extLst>
                <a:ext uri="{FF2B5EF4-FFF2-40B4-BE49-F238E27FC236}">
                  <a16:creationId xmlns:a16="http://schemas.microsoft.com/office/drawing/2014/main" id="{A9753380-BE1B-3390-9F4A-A22274362D93}"/>
                </a:ext>
              </a:extLst>
            </xdr:cNvPr>
            <xdr:cNvSpPr/>
          </xdr:nvSpPr>
          <xdr:spPr>
            <a:xfrm>
              <a:off x="5882697" y="3429928"/>
              <a:ext cx="426605" cy="248841"/>
            </a:xfrm>
            <a:custGeom>
              <a:avLst/>
              <a:gdLst>
                <a:gd name="connsiteX0" fmla="*/ 213303 w 426605"/>
                <a:gd name="connsiteY0" fmla="*/ 0 h 248841"/>
                <a:gd name="connsiteX1" fmla="*/ 0 w 426605"/>
                <a:gd name="connsiteY1" fmla="*/ 181045 h 248841"/>
                <a:gd name="connsiteX2" fmla="*/ 18602 w 426605"/>
                <a:gd name="connsiteY2" fmla="*/ 234667 h 248841"/>
                <a:gd name="connsiteX3" fmla="*/ 126212 w 426605"/>
                <a:gd name="connsiteY3" fmla="*/ 243530 h 248841"/>
                <a:gd name="connsiteX4" fmla="*/ 213303 w 426605"/>
                <a:gd name="connsiteY4" fmla="*/ 236426 h 248841"/>
                <a:gd name="connsiteX5" fmla="*/ 300394 w 426605"/>
                <a:gd name="connsiteY5" fmla="*/ 243530 h 248841"/>
                <a:gd name="connsiteX6" fmla="*/ 359121 w 426605"/>
                <a:gd name="connsiteY6" fmla="*/ 248842 h 248841"/>
                <a:gd name="connsiteX7" fmla="*/ 408003 w 426605"/>
                <a:gd name="connsiteY7" fmla="*/ 234667 h 248841"/>
                <a:gd name="connsiteX8" fmla="*/ 426606 w 426605"/>
                <a:gd name="connsiteY8" fmla="*/ 181045 h 248841"/>
                <a:gd name="connsiteX9" fmla="*/ 213303 w 426605"/>
                <a:gd name="connsiteY9" fmla="*/ 0 h 248841"/>
                <a:gd name="connsiteX10" fmla="*/ 302618 w 426605"/>
                <a:gd name="connsiteY10" fmla="*/ 226047 h 248841"/>
                <a:gd name="connsiteX11" fmla="*/ 213303 w 426605"/>
                <a:gd name="connsiteY11" fmla="*/ 218769 h 248841"/>
                <a:gd name="connsiteX12" fmla="*/ 123988 w 426605"/>
                <a:gd name="connsiteY12" fmla="*/ 226047 h 248841"/>
                <a:gd name="connsiteX13" fmla="*/ 108993 w 426605"/>
                <a:gd name="connsiteY13" fmla="*/ 227920 h 248841"/>
                <a:gd name="connsiteX14" fmla="*/ 213303 w 426605"/>
                <a:gd name="connsiteY14" fmla="*/ 151835 h 248841"/>
                <a:gd name="connsiteX15" fmla="*/ 317611 w 426605"/>
                <a:gd name="connsiteY15" fmla="*/ 227909 h 248841"/>
                <a:gd name="connsiteX16" fmla="*/ 302618 w 426605"/>
                <a:gd name="connsiteY16" fmla="*/ 226047 h 248841"/>
                <a:gd name="connsiteX17" fmla="*/ 213303 w 426605"/>
                <a:gd name="connsiteY17" fmla="*/ 134180 h 248841"/>
                <a:gd name="connsiteX18" fmla="*/ 90757 w 426605"/>
                <a:gd name="connsiteY18" fmla="*/ 229890 h 248841"/>
                <a:gd name="connsiteX19" fmla="*/ 30276 w 426605"/>
                <a:gd name="connsiteY19" fmla="*/ 221425 h 248841"/>
                <a:gd name="connsiteX20" fmla="*/ 17656 w 426605"/>
                <a:gd name="connsiteY20" fmla="*/ 181045 h 248841"/>
                <a:gd name="connsiteX21" fmla="*/ 213303 w 426605"/>
                <a:gd name="connsiteY21" fmla="*/ 17656 h 248841"/>
                <a:gd name="connsiteX22" fmla="*/ 408950 w 426605"/>
                <a:gd name="connsiteY22" fmla="*/ 181045 h 248841"/>
                <a:gd name="connsiteX23" fmla="*/ 396330 w 426605"/>
                <a:gd name="connsiteY23" fmla="*/ 221425 h 248841"/>
                <a:gd name="connsiteX24" fmla="*/ 335845 w 426605"/>
                <a:gd name="connsiteY24" fmla="*/ 229869 h 248841"/>
                <a:gd name="connsiteX25" fmla="*/ 213303 w 426605"/>
                <a:gd name="connsiteY25" fmla="*/ 134180 h 24884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</a:cxnLst>
              <a:rect l="l" t="t" r="r" b="b"/>
              <a:pathLst>
                <a:path w="426605" h="248841">
                  <a:moveTo>
                    <a:pt x="213303" y="0"/>
                  </a:moveTo>
                  <a:cubicBezTo>
                    <a:pt x="95692" y="0"/>
                    <a:pt x="0" y="81211"/>
                    <a:pt x="0" y="181045"/>
                  </a:cubicBezTo>
                  <a:cubicBezTo>
                    <a:pt x="0" y="206114"/>
                    <a:pt x="6084" y="223632"/>
                    <a:pt x="18602" y="234667"/>
                  </a:cubicBezTo>
                  <a:cubicBezTo>
                    <a:pt x="40965" y="254361"/>
                    <a:pt x="78590" y="249601"/>
                    <a:pt x="126212" y="243530"/>
                  </a:cubicBezTo>
                  <a:cubicBezTo>
                    <a:pt x="152488" y="240221"/>
                    <a:pt x="182267" y="236426"/>
                    <a:pt x="213303" y="236426"/>
                  </a:cubicBezTo>
                  <a:cubicBezTo>
                    <a:pt x="244339" y="236426"/>
                    <a:pt x="274117" y="240221"/>
                    <a:pt x="300394" y="243530"/>
                  </a:cubicBezTo>
                  <a:cubicBezTo>
                    <a:pt x="322241" y="246324"/>
                    <a:pt x="341981" y="248842"/>
                    <a:pt x="359121" y="248842"/>
                  </a:cubicBezTo>
                  <a:cubicBezTo>
                    <a:pt x="379330" y="248842"/>
                    <a:pt x="395899" y="245324"/>
                    <a:pt x="408003" y="234667"/>
                  </a:cubicBezTo>
                  <a:cubicBezTo>
                    <a:pt x="420521" y="223632"/>
                    <a:pt x="426606" y="206114"/>
                    <a:pt x="426606" y="181045"/>
                  </a:cubicBezTo>
                  <a:cubicBezTo>
                    <a:pt x="426606" y="81211"/>
                    <a:pt x="330914" y="0"/>
                    <a:pt x="213303" y="0"/>
                  </a:cubicBezTo>
                  <a:close/>
                  <a:moveTo>
                    <a:pt x="302618" y="226047"/>
                  </a:moveTo>
                  <a:cubicBezTo>
                    <a:pt x="275823" y="222633"/>
                    <a:pt x="245444" y="218769"/>
                    <a:pt x="213303" y="218769"/>
                  </a:cubicBezTo>
                  <a:cubicBezTo>
                    <a:pt x="181162" y="218769"/>
                    <a:pt x="150783" y="222633"/>
                    <a:pt x="123988" y="226047"/>
                  </a:cubicBezTo>
                  <a:cubicBezTo>
                    <a:pt x="118848" y="226700"/>
                    <a:pt x="113859" y="227330"/>
                    <a:pt x="108993" y="227920"/>
                  </a:cubicBezTo>
                  <a:cubicBezTo>
                    <a:pt x="118255" y="184679"/>
                    <a:pt x="161462" y="151835"/>
                    <a:pt x="213303" y="151835"/>
                  </a:cubicBezTo>
                  <a:cubicBezTo>
                    <a:pt x="265139" y="151835"/>
                    <a:pt x="308344" y="184674"/>
                    <a:pt x="317611" y="227909"/>
                  </a:cubicBezTo>
                  <a:cubicBezTo>
                    <a:pt x="312746" y="227322"/>
                    <a:pt x="307757" y="226695"/>
                    <a:pt x="302618" y="226047"/>
                  </a:cubicBezTo>
                  <a:close/>
                  <a:moveTo>
                    <a:pt x="213303" y="134180"/>
                  </a:moveTo>
                  <a:cubicBezTo>
                    <a:pt x="150821" y="134180"/>
                    <a:pt x="99130" y="175897"/>
                    <a:pt x="90757" y="229890"/>
                  </a:cubicBezTo>
                  <a:cubicBezTo>
                    <a:pt x="63485" y="232453"/>
                    <a:pt x="42177" y="231914"/>
                    <a:pt x="30276" y="221425"/>
                  </a:cubicBezTo>
                  <a:cubicBezTo>
                    <a:pt x="21794" y="213942"/>
                    <a:pt x="17656" y="200736"/>
                    <a:pt x="17656" y="181045"/>
                  </a:cubicBezTo>
                  <a:cubicBezTo>
                    <a:pt x="17656" y="90936"/>
                    <a:pt x="105417" y="17656"/>
                    <a:pt x="213303" y="17656"/>
                  </a:cubicBezTo>
                  <a:cubicBezTo>
                    <a:pt x="321189" y="17656"/>
                    <a:pt x="408950" y="90936"/>
                    <a:pt x="408950" y="181045"/>
                  </a:cubicBezTo>
                  <a:cubicBezTo>
                    <a:pt x="408950" y="200736"/>
                    <a:pt x="404812" y="213942"/>
                    <a:pt x="396330" y="221425"/>
                  </a:cubicBezTo>
                  <a:cubicBezTo>
                    <a:pt x="384439" y="231888"/>
                    <a:pt x="363123" y="232421"/>
                    <a:pt x="335845" y="229869"/>
                  </a:cubicBezTo>
                  <a:cubicBezTo>
                    <a:pt x="327461" y="175887"/>
                    <a:pt x="275776" y="134180"/>
                    <a:pt x="213303" y="134180"/>
                  </a:cubicBezTo>
                  <a:close/>
                </a:path>
              </a:pathLst>
            </a:custGeom>
            <a:solidFill>
              <a:srgbClr val="373030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</xdr:grpSp>
    <xdr:clientData/>
  </xdr:twoCellAnchor>
  <xdr:twoCellAnchor editAs="oneCell">
    <xdr:from>
      <xdr:col>13</xdr:col>
      <xdr:colOff>53318</xdr:colOff>
      <xdr:row>9</xdr:row>
      <xdr:rowOff>107186</xdr:rowOff>
    </xdr:from>
    <xdr:to>
      <xdr:col>13</xdr:col>
      <xdr:colOff>454758</xdr:colOff>
      <xdr:row>10</xdr:row>
      <xdr:rowOff>29130</xdr:rowOff>
    </xdr:to>
    <xdr:grpSp>
      <xdr:nvGrpSpPr>
        <xdr:cNvPr id="2082" name="Group 2081" descr="Delicious face emoji">
          <a:extLst>
            <a:ext uri="{FF2B5EF4-FFF2-40B4-BE49-F238E27FC236}">
              <a16:creationId xmlns:a16="http://schemas.microsoft.com/office/drawing/2014/main" id="{9A1C6A80-4A25-47BA-3BC0-5CB642E9327E}"/>
            </a:ext>
          </a:extLst>
        </xdr:cNvPr>
        <xdr:cNvGrpSpPr/>
      </xdr:nvGrpSpPr>
      <xdr:grpSpPr>
        <a:xfrm>
          <a:off x="23357818" y="4761736"/>
          <a:ext cx="404615" cy="560119"/>
          <a:chOff x="5941678" y="2002458"/>
          <a:chExt cx="706247" cy="706247"/>
        </a:xfrm>
      </xdr:grpSpPr>
      <xdr:sp macro="" textlink="">
        <xdr:nvSpPr>
          <xdr:cNvPr id="2101" name="Freeform 2100">
            <a:extLst>
              <a:ext uri="{FF2B5EF4-FFF2-40B4-BE49-F238E27FC236}">
                <a16:creationId xmlns:a16="http://schemas.microsoft.com/office/drawing/2014/main" id="{E7F5059E-462F-5A8E-9E63-8A8033E6E280}"/>
              </a:ext>
            </a:extLst>
          </xdr:cNvPr>
          <xdr:cNvSpPr/>
        </xdr:nvSpPr>
        <xdr:spPr>
          <a:xfrm>
            <a:off x="5941678" y="2002458"/>
            <a:ext cx="706246" cy="706246"/>
          </a:xfrm>
          <a:custGeom>
            <a:avLst/>
            <a:gdLst>
              <a:gd name="connsiteX0" fmla="*/ 706244 w 706244"/>
              <a:gd name="connsiteY0" fmla="*/ 353122 h 706244"/>
              <a:gd name="connsiteX1" fmla="*/ 353122 w 706244"/>
              <a:gd name="connsiteY1" fmla="*/ 706244 h 706244"/>
              <a:gd name="connsiteX2" fmla="*/ 0 w 706244"/>
              <a:gd name="connsiteY2" fmla="*/ 353122 h 706244"/>
              <a:gd name="connsiteX3" fmla="*/ 353122 w 706244"/>
              <a:gd name="connsiteY3" fmla="*/ 0 h 706244"/>
              <a:gd name="connsiteX4" fmla="*/ 706244 w 706244"/>
              <a:gd name="connsiteY4" fmla="*/ 353122 h 7062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06244" h="706244">
                <a:moveTo>
                  <a:pt x="706244" y="353122"/>
                </a:moveTo>
                <a:cubicBezTo>
                  <a:pt x="706244" y="548146"/>
                  <a:pt x="548146" y="706244"/>
                  <a:pt x="353122" y="706244"/>
                </a:cubicBezTo>
                <a:cubicBezTo>
                  <a:pt x="158098" y="706244"/>
                  <a:pt x="0" y="548146"/>
                  <a:pt x="0" y="353122"/>
                </a:cubicBezTo>
                <a:cubicBezTo>
                  <a:pt x="0" y="158098"/>
                  <a:pt x="158098" y="0"/>
                  <a:pt x="353122" y="0"/>
                </a:cubicBezTo>
                <a:cubicBezTo>
                  <a:pt x="548146" y="0"/>
                  <a:pt x="706244" y="158098"/>
                  <a:pt x="706244" y="353122"/>
                </a:cubicBezTo>
                <a:close/>
              </a:path>
            </a:pathLst>
          </a:custGeom>
          <a:solidFill>
            <a:srgbClr val="FFB000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102" name="Freeform 2101">
            <a:extLst>
              <a:ext uri="{FF2B5EF4-FFF2-40B4-BE49-F238E27FC236}">
                <a16:creationId xmlns:a16="http://schemas.microsoft.com/office/drawing/2014/main" id="{B7F0D659-2485-4E31-E5B1-A08487EFA72E}"/>
              </a:ext>
            </a:extLst>
          </xdr:cNvPr>
          <xdr:cNvSpPr/>
        </xdr:nvSpPr>
        <xdr:spPr>
          <a:xfrm>
            <a:off x="5965433" y="2160206"/>
            <a:ext cx="682492" cy="548499"/>
          </a:xfrm>
          <a:custGeom>
            <a:avLst/>
            <a:gdLst>
              <a:gd name="connsiteX0" fmla="*/ 623433 w 682490"/>
              <a:gd name="connsiteY0" fmla="*/ 0 h 548497"/>
              <a:gd name="connsiteX1" fmla="*/ 647189 w 682490"/>
              <a:gd name="connsiteY1" fmla="*/ 126534 h 548497"/>
              <a:gd name="connsiteX2" fmla="*/ 294066 w 682490"/>
              <a:gd name="connsiteY2" fmla="*/ 479656 h 548497"/>
              <a:gd name="connsiteX3" fmla="*/ 0 w 682490"/>
              <a:gd name="connsiteY3" fmla="*/ 321906 h 548497"/>
              <a:gd name="connsiteX4" fmla="*/ 329368 w 682490"/>
              <a:gd name="connsiteY4" fmla="*/ 548497 h 548497"/>
              <a:gd name="connsiteX5" fmla="*/ 682490 w 682490"/>
              <a:gd name="connsiteY5" fmla="*/ 195375 h 548497"/>
              <a:gd name="connsiteX6" fmla="*/ 623433 w 682490"/>
              <a:gd name="connsiteY6" fmla="*/ 0 h 54849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682490" h="548497">
                <a:moveTo>
                  <a:pt x="623433" y="0"/>
                </a:moveTo>
                <a:cubicBezTo>
                  <a:pt x="638558" y="39327"/>
                  <a:pt x="647189" y="81882"/>
                  <a:pt x="647189" y="126534"/>
                </a:cubicBezTo>
                <a:cubicBezTo>
                  <a:pt x="647189" y="321559"/>
                  <a:pt x="489089" y="479656"/>
                  <a:pt x="294066" y="479656"/>
                </a:cubicBezTo>
                <a:cubicBezTo>
                  <a:pt x="171310" y="479656"/>
                  <a:pt x="63280" y="416959"/>
                  <a:pt x="0" y="321906"/>
                </a:cubicBezTo>
                <a:cubicBezTo>
                  <a:pt x="50924" y="454341"/>
                  <a:pt x="178998" y="548497"/>
                  <a:pt x="329368" y="548497"/>
                </a:cubicBezTo>
                <a:cubicBezTo>
                  <a:pt x="524390" y="548497"/>
                  <a:pt x="682490" y="390397"/>
                  <a:pt x="682490" y="195375"/>
                </a:cubicBezTo>
                <a:cubicBezTo>
                  <a:pt x="682490" y="123101"/>
                  <a:pt x="660691" y="55966"/>
                  <a:pt x="623433" y="0"/>
                </a:cubicBezTo>
                <a:close/>
              </a:path>
            </a:pathLst>
          </a:custGeom>
          <a:solidFill>
            <a:srgbClr val="EBA20B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103" name="Freeform 2102">
            <a:extLst>
              <a:ext uri="{FF2B5EF4-FFF2-40B4-BE49-F238E27FC236}">
                <a16:creationId xmlns:a16="http://schemas.microsoft.com/office/drawing/2014/main" id="{CE6EA090-F18F-AB3A-3A85-6F73E271C1B8}"/>
              </a:ext>
            </a:extLst>
          </xdr:cNvPr>
          <xdr:cNvSpPr/>
        </xdr:nvSpPr>
        <xdr:spPr>
          <a:xfrm>
            <a:off x="6109033" y="2161808"/>
            <a:ext cx="86522" cy="56486"/>
          </a:xfrm>
          <a:custGeom>
            <a:avLst/>
            <a:gdLst>
              <a:gd name="connsiteX0" fmla="*/ 73281 w 86522"/>
              <a:gd name="connsiteY0" fmla="*/ 56486 h 56486"/>
              <a:gd name="connsiteX1" fmla="*/ 60038 w 86522"/>
              <a:gd name="connsiteY1" fmla="*/ 43244 h 56486"/>
              <a:gd name="connsiteX2" fmla="*/ 43262 w 86522"/>
              <a:gd name="connsiteY2" fmla="*/ 26484 h 56486"/>
              <a:gd name="connsiteX3" fmla="*/ 26484 w 86522"/>
              <a:gd name="connsiteY3" fmla="*/ 43244 h 56486"/>
              <a:gd name="connsiteX4" fmla="*/ 13243 w 86522"/>
              <a:gd name="connsiteY4" fmla="*/ 56486 h 56486"/>
              <a:gd name="connsiteX5" fmla="*/ 0 w 86522"/>
              <a:gd name="connsiteY5" fmla="*/ 43244 h 56486"/>
              <a:gd name="connsiteX6" fmla="*/ 43262 w 86522"/>
              <a:gd name="connsiteY6" fmla="*/ 0 h 56486"/>
              <a:gd name="connsiteX7" fmla="*/ 86522 w 86522"/>
              <a:gd name="connsiteY7" fmla="*/ 43244 h 56486"/>
              <a:gd name="connsiteX8" fmla="*/ 73281 w 86522"/>
              <a:gd name="connsiteY8" fmla="*/ 56486 h 5648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86522" h="56486">
                <a:moveTo>
                  <a:pt x="73281" y="56486"/>
                </a:moveTo>
                <a:cubicBezTo>
                  <a:pt x="65967" y="56486"/>
                  <a:pt x="60038" y="50553"/>
                  <a:pt x="60038" y="43244"/>
                </a:cubicBezTo>
                <a:cubicBezTo>
                  <a:pt x="60038" y="34002"/>
                  <a:pt x="52520" y="26484"/>
                  <a:pt x="43262" y="26484"/>
                </a:cubicBezTo>
                <a:cubicBezTo>
                  <a:pt x="33999" y="26484"/>
                  <a:pt x="26484" y="34002"/>
                  <a:pt x="26484" y="43244"/>
                </a:cubicBezTo>
                <a:cubicBezTo>
                  <a:pt x="26484" y="50553"/>
                  <a:pt x="20552" y="56486"/>
                  <a:pt x="13243" y="56486"/>
                </a:cubicBezTo>
                <a:cubicBezTo>
                  <a:pt x="5929" y="56486"/>
                  <a:pt x="0" y="50553"/>
                  <a:pt x="0" y="43244"/>
                </a:cubicBezTo>
                <a:cubicBezTo>
                  <a:pt x="0" y="19398"/>
                  <a:pt x="19415" y="0"/>
                  <a:pt x="43262" y="0"/>
                </a:cubicBezTo>
                <a:cubicBezTo>
                  <a:pt x="67104" y="0"/>
                  <a:pt x="86522" y="19398"/>
                  <a:pt x="86522" y="43244"/>
                </a:cubicBezTo>
                <a:cubicBezTo>
                  <a:pt x="86522" y="50553"/>
                  <a:pt x="80590" y="56486"/>
                  <a:pt x="73281" y="56486"/>
                </a:cubicBezTo>
                <a:close/>
              </a:path>
            </a:pathLst>
          </a:custGeom>
          <a:solidFill>
            <a:srgbClr val="373030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104" name="Freeform 2103">
            <a:extLst>
              <a:ext uri="{FF2B5EF4-FFF2-40B4-BE49-F238E27FC236}">
                <a16:creationId xmlns:a16="http://schemas.microsoft.com/office/drawing/2014/main" id="{DD62E0DA-008B-4167-8E61-B9D519532925}"/>
              </a:ext>
            </a:extLst>
          </xdr:cNvPr>
          <xdr:cNvSpPr/>
        </xdr:nvSpPr>
        <xdr:spPr>
          <a:xfrm>
            <a:off x="6394046" y="2161811"/>
            <a:ext cx="86522" cy="56486"/>
          </a:xfrm>
          <a:custGeom>
            <a:avLst/>
            <a:gdLst>
              <a:gd name="connsiteX0" fmla="*/ 73280 w 86522"/>
              <a:gd name="connsiteY0" fmla="*/ 56486 h 56486"/>
              <a:gd name="connsiteX1" fmla="*/ 60038 w 86522"/>
              <a:gd name="connsiteY1" fmla="*/ 43244 h 56486"/>
              <a:gd name="connsiteX2" fmla="*/ 43262 w 86522"/>
              <a:gd name="connsiteY2" fmla="*/ 26484 h 56486"/>
              <a:gd name="connsiteX3" fmla="*/ 26484 w 86522"/>
              <a:gd name="connsiteY3" fmla="*/ 43244 h 56486"/>
              <a:gd name="connsiteX4" fmla="*/ 13243 w 86522"/>
              <a:gd name="connsiteY4" fmla="*/ 56486 h 56486"/>
              <a:gd name="connsiteX5" fmla="*/ 0 w 86522"/>
              <a:gd name="connsiteY5" fmla="*/ 43244 h 56486"/>
              <a:gd name="connsiteX6" fmla="*/ 43262 w 86522"/>
              <a:gd name="connsiteY6" fmla="*/ 0 h 56486"/>
              <a:gd name="connsiteX7" fmla="*/ 86522 w 86522"/>
              <a:gd name="connsiteY7" fmla="*/ 43244 h 56486"/>
              <a:gd name="connsiteX8" fmla="*/ 73280 w 86522"/>
              <a:gd name="connsiteY8" fmla="*/ 56486 h 5648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86522" h="56486">
                <a:moveTo>
                  <a:pt x="73280" y="56486"/>
                </a:moveTo>
                <a:cubicBezTo>
                  <a:pt x="65970" y="56486"/>
                  <a:pt x="60038" y="50553"/>
                  <a:pt x="60038" y="43244"/>
                </a:cubicBezTo>
                <a:cubicBezTo>
                  <a:pt x="60038" y="34002"/>
                  <a:pt x="52520" y="26484"/>
                  <a:pt x="43262" y="26484"/>
                </a:cubicBezTo>
                <a:cubicBezTo>
                  <a:pt x="34002" y="26484"/>
                  <a:pt x="26484" y="34002"/>
                  <a:pt x="26484" y="43244"/>
                </a:cubicBezTo>
                <a:cubicBezTo>
                  <a:pt x="26484" y="50553"/>
                  <a:pt x="20555" y="56486"/>
                  <a:pt x="13243" y="56486"/>
                </a:cubicBezTo>
                <a:cubicBezTo>
                  <a:pt x="5933" y="56486"/>
                  <a:pt x="0" y="50553"/>
                  <a:pt x="0" y="43244"/>
                </a:cubicBezTo>
                <a:cubicBezTo>
                  <a:pt x="0" y="19398"/>
                  <a:pt x="19415" y="0"/>
                  <a:pt x="43262" y="0"/>
                </a:cubicBezTo>
                <a:cubicBezTo>
                  <a:pt x="67107" y="0"/>
                  <a:pt x="86522" y="19398"/>
                  <a:pt x="86522" y="43244"/>
                </a:cubicBezTo>
                <a:cubicBezTo>
                  <a:pt x="86522" y="50553"/>
                  <a:pt x="80593" y="56486"/>
                  <a:pt x="73280" y="56486"/>
                </a:cubicBezTo>
                <a:close/>
              </a:path>
            </a:pathLst>
          </a:custGeom>
          <a:solidFill>
            <a:srgbClr val="373030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105" name="Freeform 2104">
            <a:extLst>
              <a:ext uri="{FF2B5EF4-FFF2-40B4-BE49-F238E27FC236}">
                <a16:creationId xmlns:a16="http://schemas.microsoft.com/office/drawing/2014/main" id="{566C8324-526C-1E94-E33A-66723FFF9F81}"/>
              </a:ext>
            </a:extLst>
          </xdr:cNvPr>
          <xdr:cNvSpPr/>
        </xdr:nvSpPr>
        <xdr:spPr>
          <a:xfrm>
            <a:off x="6059966" y="2299734"/>
            <a:ext cx="471464" cy="183226"/>
          </a:xfrm>
          <a:custGeom>
            <a:avLst/>
            <a:gdLst>
              <a:gd name="connsiteX0" fmla="*/ 235727 w 471463"/>
              <a:gd name="connsiteY0" fmla="*/ 183227 h 183226"/>
              <a:gd name="connsiteX1" fmla="*/ 767 w 471463"/>
              <a:gd name="connsiteY1" fmla="*/ 17683 h 183226"/>
              <a:gd name="connsiteX2" fmla="*/ 8818 w 471463"/>
              <a:gd name="connsiteY2" fmla="*/ 769 h 183226"/>
              <a:gd name="connsiteX3" fmla="*/ 25733 w 471463"/>
              <a:gd name="connsiteY3" fmla="*/ 8823 h 183226"/>
              <a:gd name="connsiteX4" fmla="*/ 235727 w 471463"/>
              <a:gd name="connsiteY4" fmla="*/ 156743 h 183226"/>
              <a:gd name="connsiteX5" fmla="*/ 343094 w 471463"/>
              <a:gd name="connsiteY5" fmla="*/ 129121 h 183226"/>
              <a:gd name="connsiteX6" fmla="*/ 431307 w 471463"/>
              <a:gd name="connsiteY6" fmla="*/ 41237 h 183226"/>
              <a:gd name="connsiteX7" fmla="*/ 445704 w 471463"/>
              <a:gd name="connsiteY7" fmla="*/ 8943 h 183226"/>
              <a:gd name="connsiteX8" fmla="*/ 462530 w 471463"/>
              <a:gd name="connsiteY8" fmla="*/ 737 h 183226"/>
              <a:gd name="connsiteX9" fmla="*/ 470741 w 471463"/>
              <a:gd name="connsiteY9" fmla="*/ 17563 h 183226"/>
              <a:gd name="connsiteX10" fmla="*/ 454412 w 471463"/>
              <a:gd name="connsiteY10" fmla="*/ 54168 h 183226"/>
              <a:gd name="connsiteX11" fmla="*/ 355887 w 471463"/>
              <a:gd name="connsiteY11" fmla="*/ 152311 h 183226"/>
              <a:gd name="connsiteX12" fmla="*/ 235727 w 471463"/>
              <a:gd name="connsiteY12" fmla="*/ 183227 h 18322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471463" h="183226">
                <a:moveTo>
                  <a:pt x="235727" y="183227"/>
                </a:moveTo>
                <a:cubicBezTo>
                  <a:pt x="130288" y="183227"/>
                  <a:pt x="35871" y="116688"/>
                  <a:pt x="767" y="17683"/>
                </a:cubicBezTo>
                <a:cubicBezTo>
                  <a:pt x="-1684" y="10786"/>
                  <a:pt x="1939" y="3220"/>
                  <a:pt x="8818" y="769"/>
                </a:cubicBezTo>
                <a:cubicBezTo>
                  <a:pt x="15732" y="-1643"/>
                  <a:pt x="23286" y="1923"/>
                  <a:pt x="25733" y="8823"/>
                </a:cubicBezTo>
                <a:cubicBezTo>
                  <a:pt x="57079" y="97309"/>
                  <a:pt x="141478" y="156743"/>
                  <a:pt x="235727" y="156743"/>
                </a:cubicBezTo>
                <a:cubicBezTo>
                  <a:pt x="273437" y="156743"/>
                  <a:pt x="310575" y="147191"/>
                  <a:pt x="343094" y="129121"/>
                </a:cubicBezTo>
                <a:cubicBezTo>
                  <a:pt x="380129" y="108827"/>
                  <a:pt x="410597" y="78462"/>
                  <a:pt x="431307" y="41237"/>
                </a:cubicBezTo>
                <a:cubicBezTo>
                  <a:pt x="436925" y="31254"/>
                  <a:pt x="441756" y="20409"/>
                  <a:pt x="445704" y="8943"/>
                </a:cubicBezTo>
                <a:cubicBezTo>
                  <a:pt x="448099" y="2047"/>
                  <a:pt x="455686" y="-1678"/>
                  <a:pt x="462530" y="737"/>
                </a:cubicBezTo>
                <a:cubicBezTo>
                  <a:pt x="469444" y="3113"/>
                  <a:pt x="473117" y="10649"/>
                  <a:pt x="470741" y="17563"/>
                </a:cubicBezTo>
                <a:cubicBezTo>
                  <a:pt x="466273" y="30548"/>
                  <a:pt x="460789" y="42857"/>
                  <a:pt x="454412" y="54168"/>
                </a:cubicBezTo>
                <a:cubicBezTo>
                  <a:pt x="431325" y="95706"/>
                  <a:pt x="397234" y="129655"/>
                  <a:pt x="355887" y="152311"/>
                </a:cubicBezTo>
                <a:cubicBezTo>
                  <a:pt x="319505" y="172520"/>
                  <a:pt x="277936" y="183227"/>
                  <a:pt x="235727" y="183227"/>
                </a:cubicBezTo>
                <a:close/>
              </a:path>
            </a:pathLst>
          </a:custGeom>
          <a:solidFill>
            <a:srgbClr val="373030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grpSp>
        <xdr:nvGrpSpPr>
          <xdr:cNvPr id="2106" name="Graphic 930">
            <a:extLst>
              <a:ext uri="{FF2B5EF4-FFF2-40B4-BE49-F238E27FC236}">
                <a16:creationId xmlns:a16="http://schemas.microsoft.com/office/drawing/2014/main" id="{35607FE3-AF3A-079C-089A-C23164632DB8}"/>
              </a:ext>
            </a:extLst>
          </xdr:cNvPr>
          <xdr:cNvGrpSpPr/>
        </xdr:nvGrpSpPr>
        <xdr:grpSpPr>
          <a:xfrm>
            <a:off x="6387631" y="2325693"/>
            <a:ext cx="193165" cy="192698"/>
            <a:chOff x="6387632" y="2325693"/>
            <a:chExt cx="193165" cy="192698"/>
          </a:xfrm>
        </xdr:grpSpPr>
        <xdr:sp macro="" textlink="">
          <xdr:nvSpPr>
            <xdr:cNvPr id="2107" name="Freeform 2106">
              <a:extLst>
                <a:ext uri="{FF2B5EF4-FFF2-40B4-BE49-F238E27FC236}">
                  <a16:creationId xmlns:a16="http://schemas.microsoft.com/office/drawing/2014/main" id="{B31C548A-9CF5-7435-E794-373D701DF41B}"/>
                </a:ext>
              </a:extLst>
            </xdr:cNvPr>
            <xdr:cNvSpPr/>
          </xdr:nvSpPr>
          <xdr:spPr>
            <a:xfrm>
              <a:off x="6409480" y="2347406"/>
              <a:ext cx="158088" cy="157746"/>
            </a:xfrm>
            <a:custGeom>
              <a:avLst/>
              <a:gdLst>
                <a:gd name="connsiteX0" fmla="*/ 138668 w 158088"/>
                <a:gd name="connsiteY0" fmla="*/ 138329 h 157746"/>
                <a:gd name="connsiteX1" fmla="*/ 45313 w 158088"/>
                <a:gd name="connsiteY1" fmla="*/ 138329 h 157746"/>
                <a:gd name="connsiteX2" fmla="*/ 0 w 158088"/>
                <a:gd name="connsiteY2" fmla="*/ 93013 h 157746"/>
                <a:gd name="connsiteX3" fmla="*/ 93355 w 158088"/>
                <a:gd name="connsiteY3" fmla="*/ 0 h 157746"/>
                <a:gd name="connsiteX4" fmla="*/ 138668 w 158088"/>
                <a:gd name="connsiteY4" fmla="*/ 44970 h 157746"/>
                <a:gd name="connsiteX5" fmla="*/ 138668 w 158088"/>
                <a:gd name="connsiteY5" fmla="*/ 138329 h 15774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</a:cxnLst>
              <a:rect l="l" t="t" r="r" b="b"/>
              <a:pathLst>
                <a:path w="158088" h="157746">
                  <a:moveTo>
                    <a:pt x="138668" y="138329"/>
                  </a:moveTo>
                  <a:cubicBezTo>
                    <a:pt x="112777" y="164220"/>
                    <a:pt x="71207" y="164220"/>
                    <a:pt x="45313" y="138329"/>
                  </a:cubicBezTo>
                  <a:lnTo>
                    <a:pt x="0" y="93013"/>
                  </a:lnTo>
                  <a:cubicBezTo>
                    <a:pt x="39183" y="71546"/>
                    <a:pt x="71550" y="39179"/>
                    <a:pt x="93355" y="0"/>
                  </a:cubicBezTo>
                  <a:lnTo>
                    <a:pt x="138668" y="44970"/>
                  </a:lnTo>
                  <a:cubicBezTo>
                    <a:pt x="164563" y="70865"/>
                    <a:pt x="164563" y="112773"/>
                    <a:pt x="138668" y="138329"/>
                  </a:cubicBezTo>
                  <a:close/>
                </a:path>
              </a:pathLst>
            </a:custGeom>
            <a:solidFill>
              <a:srgbClr val="FF7B89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108" name="Freeform 2107">
              <a:extLst>
                <a:ext uri="{FF2B5EF4-FFF2-40B4-BE49-F238E27FC236}">
                  <a16:creationId xmlns:a16="http://schemas.microsoft.com/office/drawing/2014/main" id="{4862C892-0DB2-B7AE-9860-52CD82B151A0}"/>
                </a:ext>
              </a:extLst>
            </xdr:cNvPr>
            <xdr:cNvSpPr/>
          </xdr:nvSpPr>
          <xdr:spPr>
            <a:xfrm>
              <a:off x="6387632" y="2325693"/>
              <a:ext cx="193165" cy="192698"/>
            </a:xfrm>
            <a:custGeom>
              <a:avLst/>
              <a:gdLst>
                <a:gd name="connsiteX0" fmla="*/ 113832 w 193165"/>
                <a:gd name="connsiteY0" fmla="*/ 192698 h 192698"/>
                <a:gd name="connsiteX1" fmla="*/ 57796 w 193165"/>
                <a:gd name="connsiteY1" fmla="*/ 169406 h 192698"/>
                <a:gd name="connsiteX2" fmla="*/ 0 w 193165"/>
                <a:gd name="connsiteY2" fmla="*/ 111611 h 192698"/>
                <a:gd name="connsiteX3" fmla="*/ 15485 w 193165"/>
                <a:gd name="connsiteY3" fmla="*/ 103108 h 192698"/>
                <a:gd name="connsiteX4" fmla="*/ 103627 w 193165"/>
                <a:gd name="connsiteY4" fmla="*/ 15275 h 192698"/>
                <a:gd name="connsiteX5" fmla="*/ 112109 w 193165"/>
                <a:gd name="connsiteY5" fmla="*/ 0 h 192698"/>
                <a:gd name="connsiteX6" fmla="*/ 169837 w 193165"/>
                <a:gd name="connsiteY6" fmla="*/ 57280 h 192698"/>
                <a:gd name="connsiteX7" fmla="*/ 193165 w 193165"/>
                <a:gd name="connsiteY7" fmla="*/ 113748 h 192698"/>
                <a:gd name="connsiteX8" fmla="*/ 169837 w 193165"/>
                <a:gd name="connsiteY8" fmla="*/ 169442 h 192698"/>
                <a:gd name="connsiteX9" fmla="*/ 113832 w 193165"/>
                <a:gd name="connsiteY9" fmla="*/ 192698 h 192698"/>
                <a:gd name="connsiteX10" fmla="*/ 43243 w 193165"/>
                <a:gd name="connsiteY10" fmla="*/ 117402 h 192698"/>
                <a:gd name="connsiteX11" fmla="*/ 76522 w 193165"/>
                <a:gd name="connsiteY11" fmla="*/ 150681 h 192698"/>
                <a:gd name="connsiteX12" fmla="*/ 151147 w 193165"/>
                <a:gd name="connsiteY12" fmla="*/ 150681 h 192698"/>
                <a:gd name="connsiteX13" fmla="*/ 151214 w 193165"/>
                <a:gd name="connsiteY13" fmla="*/ 150613 h 192698"/>
                <a:gd name="connsiteX14" fmla="*/ 166681 w 193165"/>
                <a:gd name="connsiteY14" fmla="*/ 113663 h 192698"/>
                <a:gd name="connsiteX15" fmla="*/ 151147 w 193165"/>
                <a:gd name="connsiteY15" fmla="*/ 76037 h 192698"/>
                <a:gd name="connsiteX16" fmla="*/ 117834 w 193165"/>
                <a:gd name="connsiteY16" fmla="*/ 42985 h 192698"/>
                <a:gd name="connsiteX17" fmla="*/ 43243 w 193165"/>
                <a:gd name="connsiteY17" fmla="*/ 117402 h 19269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</a:cxnLst>
              <a:rect l="l" t="t" r="r" b="b"/>
              <a:pathLst>
                <a:path w="193165" h="192698">
                  <a:moveTo>
                    <a:pt x="113832" y="192698"/>
                  </a:moveTo>
                  <a:cubicBezTo>
                    <a:pt x="92730" y="192698"/>
                    <a:pt x="72814" y="184442"/>
                    <a:pt x="57796" y="169406"/>
                  </a:cubicBezTo>
                  <a:lnTo>
                    <a:pt x="0" y="111611"/>
                  </a:lnTo>
                  <a:lnTo>
                    <a:pt x="15485" y="103108"/>
                  </a:lnTo>
                  <a:cubicBezTo>
                    <a:pt x="52449" y="82867"/>
                    <a:pt x="82934" y="52485"/>
                    <a:pt x="103627" y="15275"/>
                  </a:cubicBezTo>
                  <a:lnTo>
                    <a:pt x="112109" y="0"/>
                  </a:lnTo>
                  <a:lnTo>
                    <a:pt x="169837" y="57280"/>
                  </a:lnTo>
                  <a:cubicBezTo>
                    <a:pt x="184976" y="72418"/>
                    <a:pt x="193250" y="92454"/>
                    <a:pt x="193165" y="113748"/>
                  </a:cubicBezTo>
                  <a:cubicBezTo>
                    <a:pt x="193097" y="134867"/>
                    <a:pt x="184820" y="154646"/>
                    <a:pt x="169837" y="169442"/>
                  </a:cubicBezTo>
                  <a:cubicBezTo>
                    <a:pt x="154819" y="184442"/>
                    <a:pt x="134939" y="192698"/>
                    <a:pt x="113832" y="192698"/>
                  </a:cubicBezTo>
                  <a:close/>
                  <a:moveTo>
                    <a:pt x="43243" y="117402"/>
                  </a:moveTo>
                  <a:lnTo>
                    <a:pt x="76522" y="150681"/>
                  </a:lnTo>
                  <a:cubicBezTo>
                    <a:pt x="96558" y="170717"/>
                    <a:pt x="131111" y="170681"/>
                    <a:pt x="151147" y="150681"/>
                  </a:cubicBezTo>
                  <a:lnTo>
                    <a:pt x="151214" y="150613"/>
                  </a:lnTo>
                  <a:cubicBezTo>
                    <a:pt x="161148" y="140818"/>
                    <a:pt x="166646" y="127696"/>
                    <a:pt x="166681" y="113663"/>
                  </a:cubicBezTo>
                  <a:cubicBezTo>
                    <a:pt x="166734" y="99471"/>
                    <a:pt x="161214" y="86109"/>
                    <a:pt x="151147" y="76037"/>
                  </a:cubicBezTo>
                  <a:lnTo>
                    <a:pt x="117834" y="42985"/>
                  </a:lnTo>
                  <a:cubicBezTo>
                    <a:pt x="98436" y="72920"/>
                    <a:pt x="73040" y="98246"/>
                    <a:pt x="43243" y="117402"/>
                  </a:cubicBezTo>
                  <a:close/>
                </a:path>
              </a:pathLst>
            </a:custGeom>
            <a:solidFill>
              <a:srgbClr val="373030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</xdr:grpSp>
    <xdr:clientData/>
  </xdr:twoCellAnchor>
  <xdr:twoCellAnchor editAs="oneCell">
    <xdr:from>
      <xdr:col>11</xdr:col>
      <xdr:colOff>543971</xdr:colOff>
      <xdr:row>9</xdr:row>
      <xdr:rowOff>105074</xdr:rowOff>
    </xdr:from>
    <xdr:to>
      <xdr:col>12</xdr:col>
      <xdr:colOff>455440</xdr:colOff>
      <xdr:row>10</xdr:row>
      <xdr:rowOff>31241</xdr:rowOff>
    </xdr:to>
    <xdr:grpSp>
      <xdr:nvGrpSpPr>
        <xdr:cNvPr id="2083" name="Group 2082" descr="In love emoji">
          <a:extLst>
            <a:ext uri="{FF2B5EF4-FFF2-40B4-BE49-F238E27FC236}">
              <a16:creationId xmlns:a16="http://schemas.microsoft.com/office/drawing/2014/main" id="{4D4D25BB-18FE-0E87-540B-8B59CCFB3709}"/>
            </a:ext>
          </a:extLst>
        </xdr:cNvPr>
        <xdr:cNvGrpSpPr/>
      </xdr:nvGrpSpPr>
      <xdr:grpSpPr>
        <a:xfrm>
          <a:off x="22762621" y="4759624"/>
          <a:ext cx="457569" cy="564342"/>
          <a:chOff x="7031980" y="2618077"/>
          <a:chExt cx="672456" cy="707231"/>
        </a:xfrm>
      </xdr:grpSpPr>
      <xdr:sp macro="" textlink="">
        <xdr:nvSpPr>
          <xdr:cNvPr id="2084" name="Freeform 2083">
            <a:extLst>
              <a:ext uri="{FF2B5EF4-FFF2-40B4-BE49-F238E27FC236}">
                <a16:creationId xmlns:a16="http://schemas.microsoft.com/office/drawing/2014/main" id="{2D7CF8C4-FD1E-8CCE-39C4-BFDE4EC5BEF2}"/>
              </a:ext>
            </a:extLst>
          </xdr:cNvPr>
          <xdr:cNvSpPr/>
        </xdr:nvSpPr>
        <xdr:spPr>
          <a:xfrm>
            <a:off x="7031980" y="2652853"/>
            <a:ext cx="672455" cy="672455"/>
          </a:xfrm>
          <a:custGeom>
            <a:avLst/>
            <a:gdLst>
              <a:gd name="connsiteX0" fmla="*/ 672456 w 672455"/>
              <a:gd name="connsiteY0" fmla="*/ 336228 h 672455"/>
              <a:gd name="connsiteX1" fmla="*/ 336228 w 672455"/>
              <a:gd name="connsiteY1" fmla="*/ 672456 h 672455"/>
              <a:gd name="connsiteX2" fmla="*/ 0 w 672455"/>
              <a:gd name="connsiteY2" fmla="*/ 336228 h 672455"/>
              <a:gd name="connsiteX3" fmla="*/ 336228 w 672455"/>
              <a:gd name="connsiteY3" fmla="*/ 0 h 672455"/>
              <a:gd name="connsiteX4" fmla="*/ 672456 w 672455"/>
              <a:gd name="connsiteY4" fmla="*/ 336228 h 67245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72455" h="672455">
                <a:moveTo>
                  <a:pt x="672456" y="336228"/>
                </a:moveTo>
                <a:cubicBezTo>
                  <a:pt x="672456" y="521921"/>
                  <a:pt x="521921" y="672456"/>
                  <a:pt x="336228" y="672456"/>
                </a:cubicBezTo>
                <a:cubicBezTo>
                  <a:pt x="150534" y="672456"/>
                  <a:pt x="0" y="521921"/>
                  <a:pt x="0" y="336228"/>
                </a:cubicBezTo>
                <a:cubicBezTo>
                  <a:pt x="0" y="150534"/>
                  <a:pt x="150534" y="0"/>
                  <a:pt x="336228" y="0"/>
                </a:cubicBezTo>
                <a:cubicBezTo>
                  <a:pt x="521921" y="0"/>
                  <a:pt x="672456" y="150534"/>
                  <a:pt x="672456" y="336228"/>
                </a:cubicBezTo>
                <a:close/>
              </a:path>
            </a:pathLst>
          </a:custGeom>
          <a:solidFill>
            <a:srgbClr val="FFB000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grpSp>
        <xdr:nvGrpSpPr>
          <xdr:cNvPr id="2085" name="Graphic 932">
            <a:extLst>
              <a:ext uri="{FF2B5EF4-FFF2-40B4-BE49-F238E27FC236}">
                <a16:creationId xmlns:a16="http://schemas.microsoft.com/office/drawing/2014/main" id="{D9614EEE-3465-6EB1-061E-F2BBFDA78C4B}"/>
              </a:ext>
            </a:extLst>
          </xdr:cNvPr>
          <xdr:cNvGrpSpPr/>
        </xdr:nvGrpSpPr>
        <xdr:grpSpPr>
          <a:xfrm>
            <a:off x="7054598" y="2685452"/>
            <a:ext cx="649838" cy="639856"/>
            <a:chOff x="7366024" y="2599348"/>
            <a:chExt cx="649838" cy="639856"/>
          </a:xfrm>
          <a:solidFill>
            <a:srgbClr val="EBA20B"/>
          </a:solidFill>
        </xdr:grpSpPr>
        <xdr:sp macro="" textlink="">
          <xdr:nvSpPr>
            <xdr:cNvPr id="2099" name="Freeform 2098">
              <a:extLst>
                <a:ext uri="{FF2B5EF4-FFF2-40B4-BE49-F238E27FC236}">
                  <a16:creationId xmlns:a16="http://schemas.microsoft.com/office/drawing/2014/main" id="{48D257A4-A853-9438-BC93-0177652C6C94}"/>
                </a:ext>
              </a:extLst>
            </xdr:cNvPr>
            <xdr:cNvSpPr/>
          </xdr:nvSpPr>
          <xdr:spPr>
            <a:xfrm>
              <a:off x="7400266" y="2599348"/>
              <a:ext cx="228496" cy="225095"/>
            </a:xfrm>
            <a:custGeom>
              <a:avLst/>
              <a:gdLst>
                <a:gd name="connsiteX0" fmla="*/ 27989 w 228496"/>
                <a:gd name="connsiteY0" fmla="*/ 151053 h 225095"/>
                <a:gd name="connsiteX1" fmla="*/ 143082 w 228496"/>
                <a:gd name="connsiteY1" fmla="*/ 225096 h 225095"/>
                <a:gd name="connsiteX2" fmla="*/ 217126 w 228496"/>
                <a:gd name="connsiteY2" fmla="*/ 110006 h 225095"/>
                <a:gd name="connsiteX3" fmla="*/ 220102 w 228496"/>
                <a:gd name="connsiteY3" fmla="*/ 104919 h 225095"/>
                <a:gd name="connsiteX4" fmla="*/ 195720 w 228496"/>
                <a:gd name="connsiteY4" fmla="*/ 11372 h 225095"/>
                <a:gd name="connsiteX5" fmla="*/ 100347 w 228496"/>
                <a:gd name="connsiteY5" fmla="*/ 28176 h 225095"/>
                <a:gd name="connsiteX6" fmla="*/ 91806 w 228496"/>
                <a:gd name="connsiteY6" fmla="*/ 24568 h 225095"/>
                <a:gd name="connsiteX7" fmla="*/ 0 w 228496"/>
                <a:gd name="connsiteY7" fmla="*/ 116564 h 225095"/>
                <a:gd name="connsiteX8" fmla="*/ 23179 w 228496"/>
                <a:gd name="connsiteY8" fmla="*/ 147653 h 225095"/>
                <a:gd name="connsiteX9" fmla="*/ 27990 w 228496"/>
                <a:gd name="connsiteY9" fmla="*/ 151053 h 22509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</a:cxnLst>
              <a:rect l="l" t="t" r="r" b="b"/>
              <a:pathLst>
                <a:path w="228496" h="225095">
                  <a:moveTo>
                    <a:pt x="27989" y="151053"/>
                  </a:moveTo>
                  <a:lnTo>
                    <a:pt x="143082" y="225096"/>
                  </a:lnTo>
                  <a:lnTo>
                    <a:pt x="217126" y="110006"/>
                  </a:lnTo>
                  <a:cubicBezTo>
                    <a:pt x="218218" y="108311"/>
                    <a:pt x="219192" y="106636"/>
                    <a:pt x="220102" y="104919"/>
                  </a:cubicBezTo>
                  <a:cubicBezTo>
                    <a:pt x="237467" y="72486"/>
                    <a:pt x="227198" y="31625"/>
                    <a:pt x="195720" y="11372"/>
                  </a:cubicBezTo>
                  <a:cubicBezTo>
                    <a:pt x="164229" y="-8938"/>
                    <a:pt x="122685" y="-1263"/>
                    <a:pt x="100347" y="28176"/>
                  </a:cubicBezTo>
                  <a:cubicBezTo>
                    <a:pt x="97579" y="26678"/>
                    <a:pt x="94681" y="25659"/>
                    <a:pt x="91806" y="24568"/>
                  </a:cubicBezTo>
                  <a:cubicBezTo>
                    <a:pt x="55558" y="48977"/>
                    <a:pt x="24354" y="80274"/>
                    <a:pt x="0" y="116564"/>
                  </a:cubicBezTo>
                  <a:cubicBezTo>
                    <a:pt x="4584" y="128551"/>
                    <a:pt x="12379" y="139415"/>
                    <a:pt x="23179" y="147653"/>
                  </a:cubicBezTo>
                  <a:cubicBezTo>
                    <a:pt x="24713" y="148839"/>
                    <a:pt x="26297" y="149956"/>
                    <a:pt x="27990" y="151053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100" name="Freeform 2099">
              <a:extLst>
                <a:ext uri="{FF2B5EF4-FFF2-40B4-BE49-F238E27FC236}">
                  <a16:creationId xmlns:a16="http://schemas.microsoft.com/office/drawing/2014/main" id="{51419747-C3EF-B141-C785-B683316868FB}"/>
                </a:ext>
              </a:extLst>
            </xdr:cNvPr>
            <xdr:cNvSpPr/>
          </xdr:nvSpPr>
          <xdr:spPr>
            <a:xfrm>
              <a:off x="7366024" y="2599349"/>
              <a:ext cx="649838" cy="639855"/>
            </a:xfrm>
            <a:custGeom>
              <a:avLst/>
              <a:gdLst>
                <a:gd name="connsiteX0" fmla="*/ 593610 w 649838"/>
                <a:gd name="connsiteY0" fmla="*/ 117600 h 639855"/>
                <a:gd name="connsiteX1" fmla="*/ 594344 w 649838"/>
                <a:gd name="connsiteY1" fmla="*/ 119787 h 639855"/>
                <a:gd name="connsiteX2" fmla="*/ 457310 w 649838"/>
                <a:gd name="connsiteY2" fmla="*/ 0 h 639855"/>
                <a:gd name="connsiteX3" fmla="*/ 435704 w 649838"/>
                <a:gd name="connsiteY3" fmla="*/ 6871 h 639855"/>
                <a:gd name="connsiteX4" fmla="*/ 400364 w 649838"/>
                <a:gd name="connsiteY4" fmla="*/ 102474 h 639855"/>
                <a:gd name="connsiteX5" fmla="*/ 402951 w 649838"/>
                <a:gd name="connsiteY5" fmla="*/ 108121 h 639855"/>
                <a:gd name="connsiteX6" fmla="*/ 468632 w 649838"/>
                <a:gd name="connsiteY6" fmla="*/ 236597 h 639855"/>
                <a:gd name="connsiteX7" fmla="*/ 597108 w 649838"/>
                <a:gd name="connsiteY7" fmla="*/ 170921 h 639855"/>
                <a:gd name="connsiteX8" fmla="*/ 602513 w 649838"/>
                <a:gd name="connsiteY8" fmla="*/ 167864 h 639855"/>
                <a:gd name="connsiteX9" fmla="*/ 607434 w 649838"/>
                <a:gd name="connsiteY9" fmla="*/ 163882 h 639855"/>
                <a:gd name="connsiteX10" fmla="*/ 616226 w 649838"/>
                <a:gd name="connsiteY10" fmla="*/ 238085 h 639855"/>
                <a:gd name="connsiteX11" fmla="*/ 279998 w 649838"/>
                <a:gd name="connsiteY11" fmla="*/ 574313 h 639855"/>
                <a:gd name="connsiteX12" fmla="*/ 0 w 649838"/>
                <a:gd name="connsiteY12" fmla="*/ 424106 h 639855"/>
                <a:gd name="connsiteX13" fmla="*/ 313611 w 649838"/>
                <a:gd name="connsiteY13" fmla="*/ 639855 h 639855"/>
                <a:gd name="connsiteX14" fmla="*/ 649838 w 649838"/>
                <a:gd name="connsiteY14" fmla="*/ 303628 h 639855"/>
                <a:gd name="connsiteX15" fmla="*/ 593610 w 649838"/>
                <a:gd name="connsiteY15" fmla="*/ 117600 h 63985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</a:cxnLst>
              <a:rect l="l" t="t" r="r" b="b"/>
              <a:pathLst>
                <a:path w="649838" h="639855">
                  <a:moveTo>
                    <a:pt x="593610" y="117600"/>
                  </a:moveTo>
                  <a:cubicBezTo>
                    <a:pt x="593886" y="118314"/>
                    <a:pt x="594072" y="119071"/>
                    <a:pt x="594344" y="119787"/>
                  </a:cubicBezTo>
                  <a:cubicBezTo>
                    <a:pt x="560589" y="68329"/>
                    <a:pt x="513389" y="26593"/>
                    <a:pt x="457310" y="0"/>
                  </a:cubicBezTo>
                  <a:cubicBezTo>
                    <a:pt x="449973" y="1256"/>
                    <a:pt x="442680" y="3302"/>
                    <a:pt x="435704" y="6871"/>
                  </a:cubicBezTo>
                  <a:cubicBezTo>
                    <a:pt x="400565" y="24832"/>
                    <a:pt x="385529" y="66632"/>
                    <a:pt x="400364" y="102474"/>
                  </a:cubicBezTo>
                  <a:cubicBezTo>
                    <a:pt x="401136" y="104370"/>
                    <a:pt x="401983" y="106229"/>
                    <a:pt x="402951" y="108121"/>
                  </a:cubicBezTo>
                  <a:lnTo>
                    <a:pt x="468632" y="236597"/>
                  </a:lnTo>
                  <a:lnTo>
                    <a:pt x="597108" y="170921"/>
                  </a:lnTo>
                  <a:cubicBezTo>
                    <a:pt x="599003" y="169955"/>
                    <a:pt x="600779" y="168945"/>
                    <a:pt x="602513" y="167864"/>
                  </a:cubicBezTo>
                  <a:cubicBezTo>
                    <a:pt x="604354" y="166727"/>
                    <a:pt x="605754" y="165176"/>
                    <a:pt x="607434" y="163882"/>
                  </a:cubicBezTo>
                  <a:cubicBezTo>
                    <a:pt x="612939" y="187778"/>
                    <a:pt x="616226" y="212508"/>
                    <a:pt x="616226" y="238085"/>
                  </a:cubicBezTo>
                  <a:cubicBezTo>
                    <a:pt x="616226" y="423776"/>
                    <a:pt x="465693" y="574313"/>
                    <a:pt x="279998" y="574313"/>
                  </a:cubicBezTo>
                  <a:cubicBezTo>
                    <a:pt x="163117" y="574313"/>
                    <a:pt x="60251" y="514611"/>
                    <a:pt x="0" y="424106"/>
                  </a:cubicBezTo>
                  <a:cubicBezTo>
                    <a:pt x="48487" y="550204"/>
                    <a:pt x="170435" y="639855"/>
                    <a:pt x="313611" y="639855"/>
                  </a:cubicBezTo>
                  <a:cubicBezTo>
                    <a:pt x="499301" y="639855"/>
                    <a:pt x="649838" y="489320"/>
                    <a:pt x="649838" y="303628"/>
                  </a:cubicBezTo>
                  <a:cubicBezTo>
                    <a:pt x="649838" y="234812"/>
                    <a:pt x="629082" y="170889"/>
                    <a:pt x="593610" y="117600"/>
                  </a:cubicBezTo>
                  <a:close/>
                </a:path>
              </a:pathLst>
            </a:custGeom>
            <a:grpFill/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sp macro="" textlink="">
        <xdr:nvSpPr>
          <xdr:cNvPr id="2086" name="Freeform 2085">
            <a:extLst>
              <a:ext uri="{FF2B5EF4-FFF2-40B4-BE49-F238E27FC236}">
                <a16:creationId xmlns:a16="http://schemas.microsoft.com/office/drawing/2014/main" id="{A895AC37-673B-9345-FE46-70924A9206E0}"/>
              </a:ext>
            </a:extLst>
          </xdr:cNvPr>
          <xdr:cNvSpPr/>
        </xdr:nvSpPr>
        <xdr:spPr>
          <a:xfrm>
            <a:off x="7054598" y="2618077"/>
            <a:ext cx="252280" cy="244606"/>
          </a:xfrm>
          <a:custGeom>
            <a:avLst/>
            <a:gdLst>
              <a:gd name="connsiteX0" fmla="*/ 214496 w 252280"/>
              <a:gd name="connsiteY0" fmla="*/ 10958 h 244606"/>
              <a:gd name="connsiteX1" fmla="*/ 111712 w 252280"/>
              <a:gd name="connsiteY1" fmla="*/ 32679 h 244606"/>
              <a:gd name="connsiteX2" fmla="*/ 10948 w 252280"/>
              <a:gd name="connsiteY2" fmla="*/ 62404 h 244606"/>
              <a:gd name="connsiteX3" fmla="*/ 32433 w 252280"/>
              <a:gd name="connsiteY3" fmla="*/ 165051 h 244606"/>
              <a:gd name="connsiteX4" fmla="*/ 37779 w 252280"/>
              <a:gd name="connsiteY4" fmla="*/ 168559 h 244606"/>
              <a:gd name="connsiteX5" fmla="*/ 165276 w 252280"/>
              <a:gd name="connsiteY5" fmla="*/ 244606 h 244606"/>
              <a:gd name="connsiteX6" fmla="*/ 241327 w 252280"/>
              <a:gd name="connsiteY6" fmla="*/ 117108 h 244606"/>
              <a:gd name="connsiteX7" fmla="*/ 244364 w 252280"/>
              <a:gd name="connsiteY7" fmla="*/ 111484 h 244606"/>
              <a:gd name="connsiteX8" fmla="*/ 214496 w 252280"/>
              <a:gd name="connsiteY8" fmla="*/ 10958 h 24460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252280" h="244606">
                <a:moveTo>
                  <a:pt x="214496" y="10958"/>
                </a:moveTo>
                <a:cubicBezTo>
                  <a:pt x="179610" y="-9905"/>
                  <a:pt x="134847" y="-57"/>
                  <a:pt x="111712" y="32679"/>
                </a:cubicBezTo>
                <a:cubicBezTo>
                  <a:pt x="75860" y="14852"/>
                  <a:pt x="31794" y="27453"/>
                  <a:pt x="10948" y="62404"/>
                </a:cubicBezTo>
                <a:cubicBezTo>
                  <a:pt x="-9852" y="97274"/>
                  <a:pt x="-97" y="141926"/>
                  <a:pt x="32433" y="165051"/>
                </a:cubicBezTo>
                <a:cubicBezTo>
                  <a:pt x="34141" y="166282"/>
                  <a:pt x="35899" y="167435"/>
                  <a:pt x="37779" y="168559"/>
                </a:cubicBezTo>
                <a:lnTo>
                  <a:pt x="165276" y="244606"/>
                </a:lnTo>
                <a:lnTo>
                  <a:pt x="241327" y="117108"/>
                </a:lnTo>
                <a:cubicBezTo>
                  <a:pt x="242448" y="115229"/>
                  <a:pt x="243446" y="113380"/>
                  <a:pt x="244364" y="111484"/>
                </a:cubicBezTo>
                <a:cubicBezTo>
                  <a:pt x="261999" y="75682"/>
                  <a:pt x="249367" y="31758"/>
                  <a:pt x="214496" y="10958"/>
                </a:cubicBezTo>
                <a:close/>
              </a:path>
            </a:pathLst>
          </a:custGeom>
          <a:solidFill>
            <a:srgbClr val="FF7B89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grpSp>
        <xdr:nvGrpSpPr>
          <xdr:cNvPr id="2087" name="Graphic 932">
            <a:extLst>
              <a:ext uri="{FF2B5EF4-FFF2-40B4-BE49-F238E27FC236}">
                <a16:creationId xmlns:a16="http://schemas.microsoft.com/office/drawing/2014/main" id="{B0FDB3AD-2598-1781-684C-1C1546963342}"/>
              </a:ext>
            </a:extLst>
          </xdr:cNvPr>
          <xdr:cNvGrpSpPr/>
        </xdr:nvGrpSpPr>
        <xdr:grpSpPr>
          <a:xfrm>
            <a:off x="7133592" y="2618299"/>
            <a:ext cx="173286" cy="244383"/>
            <a:chOff x="7445018" y="2532195"/>
            <a:chExt cx="173286" cy="244383"/>
          </a:xfrm>
        </xdr:grpSpPr>
        <xdr:sp macro="" textlink="">
          <xdr:nvSpPr>
            <xdr:cNvPr id="2097" name="Freeform 2096">
              <a:extLst>
                <a:ext uri="{FF2B5EF4-FFF2-40B4-BE49-F238E27FC236}">
                  <a16:creationId xmlns:a16="http://schemas.microsoft.com/office/drawing/2014/main" id="{00E648DF-5005-69B8-7CF7-6560EB4117C3}"/>
                </a:ext>
              </a:extLst>
            </xdr:cNvPr>
            <xdr:cNvSpPr/>
          </xdr:nvSpPr>
          <xdr:spPr>
            <a:xfrm>
              <a:off x="7445018" y="2556881"/>
              <a:ext cx="1832" cy="551"/>
            </a:xfrm>
            <a:custGeom>
              <a:avLst/>
              <a:gdLst>
                <a:gd name="connsiteX0" fmla="*/ 0 w 1832"/>
                <a:gd name="connsiteY0" fmla="*/ 27 h 551"/>
                <a:gd name="connsiteX1" fmla="*/ 1365 w 1832"/>
                <a:gd name="connsiteY1" fmla="*/ 552 h 551"/>
                <a:gd name="connsiteX2" fmla="*/ 1833 w 1832"/>
                <a:gd name="connsiteY2" fmla="*/ 7 h 551"/>
                <a:gd name="connsiteX3" fmla="*/ 0 w 1832"/>
                <a:gd name="connsiteY3" fmla="*/ 27 h 55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832" h="551">
                  <a:moveTo>
                    <a:pt x="0" y="27"/>
                  </a:moveTo>
                  <a:cubicBezTo>
                    <a:pt x="447" y="239"/>
                    <a:pt x="921" y="330"/>
                    <a:pt x="1365" y="552"/>
                  </a:cubicBezTo>
                  <a:cubicBezTo>
                    <a:pt x="1503" y="354"/>
                    <a:pt x="1691" y="205"/>
                    <a:pt x="1833" y="7"/>
                  </a:cubicBezTo>
                  <a:cubicBezTo>
                    <a:pt x="1220" y="-20"/>
                    <a:pt x="611" y="40"/>
                    <a:pt x="0" y="27"/>
                  </a:cubicBezTo>
                  <a:close/>
                </a:path>
              </a:pathLst>
            </a:custGeom>
            <a:solidFill>
              <a:srgbClr val="FF7B89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098" name="Freeform 2097">
              <a:extLst>
                <a:ext uri="{FF2B5EF4-FFF2-40B4-BE49-F238E27FC236}">
                  <a16:creationId xmlns:a16="http://schemas.microsoft.com/office/drawing/2014/main" id="{D150EA67-885C-D24D-08C0-48CD561D9E5C}"/>
                </a:ext>
              </a:extLst>
            </xdr:cNvPr>
            <xdr:cNvSpPr/>
          </xdr:nvSpPr>
          <xdr:spPr>
            <a:xfrm>
              <a:off x="7505000" y="2532195"/>
              <a:ext cx="113304" cy="244383"/>
            </a:xfrm>
            <a:custGeom>
              <a:avLst/>
              <a:gdLst>
                <a:gd name="connsiteX0" fmla="*/ 75520 w 113304"/>
                <a:gd name="connsiteY0" fmla="*/ 10736 h 244383"/>
                <a:gd name="connsiteX1" fmla="*/ 36760 w 113304"/>
                <a:gd name="connsiteY1" fmla="*/ 0 h 244383"/>
                <a:gd name="connsiteX2" fmla="*/ 44166 w 113304"/>
                <a:gd name="connsiteY2" fmla="*/ 3517 h 244383"/>
                <a:gd name="connsiteX3" fmla="*/ 74034 w 113304"/>
                <a:gd name="connsiteY3" fmla="*/ 104043 h 244383"/>
                <a:gd name="connsiteX4" fmla="*/ 70998 w 113304"/>
                <a:gd name="connsiteY4" fmla="*/ 109667 h 244383"/>
                <a:gd name="connsiteX5" fmla="*/ 0 w 113304"/>
                <a:gd name="connsiteY5" fmla="*/ 228695 h 244383"/>
                <a:gd name="connsiteX6" fmla="*/ 26299 w 113304"/>
                <a:gd name="connsiteY6" fmla="*/ 244384 h 244383"/>
                <a:gd name="connsiteX7" fmla="*/ 102351 w 113304"/>
                <a:gd name="connsiteY7" fmla="*/ 116886 h 244383"/>
                <a:gd name="connsiteX8" fmla="*/ 105387 w 113304"/>
                <a:gd name="connsiteY8" fmla="*/ 111262 h 244383"/>
                <a:gd name="connsiteX9" fmla="*/ 75520 w 113304"/>
                <a:gd name="connsiteY9" fmla="*/ 10736 h 24438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</a:cxnLst>
              <a:rect l="l" t="t" r="r" b="b"/>
              <a:pathLst>
                <a:path w="113304" h="244383">
                  <a:moveTo>
                    <a:pt x="75520" y="10736"/>
                  </a:moveTo>
                  <a:cubicBezTo>
                    <a:pt x="63356" y="3460"/>
                    <a:pt x="49990" y="138"/>
                    <a:pt x="36760" y="0"/>
                  </a:cubicBezTo>
                  <a:cubicBezTo>
                    <a:pt x="39238" y="1147"/>
                    <a:pt x="41773" y="2085"/>
                    <a:pt x="44166" y="3517"/>
                  </a:cubicBezTo>
                  <a:cubicBezTo>
                    <a:pt x="79037" y="24316"/>
                    <a:pt x="91672" y="68241"/>
                    <a:pt x="74034" y="104043"/>
                  </a:cubicBezTo>
                  <a:cubicBezTo>
                    <a:pt x="73116" y="105939"/>
                    <a:pt x="72120" y="107788"/>
                    <a:pt x="70998" y="109667"/>
                  </a:cubicBezTo>
                  <a:lnTo>
                    <a:pt x="0" y="228695"/>
                  </a:lnTo>
                  <a:lnTo>
                    <a:pt x="26299" y="244384"/>
                  </a:lnTo>
                  <a:lnTo>
                    <a:pt x="102351" y="116886"/>
                  </a:lnTo>
                  <a:cubicBezTo>
                    <a:pt x="103474" y="115007"/>
                    <a:pt x="104469" y="113158"/>
                    <a:pt x="105387" y="111262"/>
                  </a:cubicBezTo>
                  <a:cubicBezTo>
                    <a:pt x="123022" y="75460"/>
                    <a:pt x="110390" y="31535"/>
                    <a:pt x="75520" y="10736"/>
                  </a:cubicBezTo>
                  <a:close/>
                </a:path>
              </a:pathLst>
            </a:custGeom>
            <a:solidFill>
              <a:srgbClr val="CE3E5A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sp macro="" textlink="">
        <xdr:nvSpPr>
          <xdr:cNvPr id="2088" name="Freeform 2087">
            <a:extLst>
              <a:ext uri="{FF2B5EF4-FFF2-40B4-BE49-F238E27FC236}">
                <a16:creationId xmlns:a16="http://schemas.microsoft.com/office/drawing/2014/main" id="{49536582-DCD7-97B5-D57E-B049F5000170}"/>
              </a:ext>
            </a:extLst>
          </xdr:cNvPr>
          <xdr:cNvSpPr/>
        </xdr:nvSpPr>
        <xdr:spPr>
          <a:xfrm>
            <a:off x="7419795" y="2637553"/>
            <a:ext cx="247416" cy="241878"/>
          </a:xfrm>
          <a:custGeom>
            <a:avLst/>
            <a:gdLst>
              <a:gd name="connsiteX0" fmla="*/ 239013 w 247416"/>
              <a:gd name="connsiteY0" fmla="*/ 72224 h 241878"/>
              <a:gd name="connsiteX1" fmla="*/ 141609 w 247416"/>
              <a:gd name="connsiteY1" fmla="*/ 36433 h 241878"/>
              <a:gd name="connsiteX2" fmla="*/ 41695 w 247416"/>
              <a:gd name="connsiteY2" fmla="*/ 8402 h 241878"/>
              <a:gd name="connsiteX3" fmla="*/ 5780 w 247416"/>
              <a:gd name="connsiteY3" fmla="*/ 105565 h 241878"/>
              <a:gd name="connsiteX4" fmla="*/ 8408 w 247416"/>
              <a:gd name="connsiteY4" fmla="*/ 111304 h 241878"/>
              <a:gd name="connsiteX5" fmla="*/ 75157 w 247416"/>
              <a:gd name="connsiteY5" fmla="*/ 241879 h 241878"/>
              <a:gd name="connsiteX6" fmla="*/ 205727 w 247416"/>
              <a:gd name="connsiteY6" fmla="*/ 175130 h 241878"/>
              <a:gd name="connsiteX7" fmla="*/ 211221 w 247416"/>
              <a:gd name="connsiteY7" fmla="*/ 172016 h 241878"/>
              <a:gd name="connsiteX8" fmla="*/ 239013 w 247416"/>
              <a:gd name="connsiteY8" fmla="*/ 72224 h 24187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247416" h="241878">
                <a:moveTo>
                  <a:pt x="239013" y="72224"/>
                </a:moveTo>
                <a:cubicBezTo>
                  <a:pt x="220777" y="36453"/>
                  <a:pt x="178153" y="21192"/>
                  <a:pt x="141609" y="36433"/>
                </a:cubicBezTo>
                <a:cubicBezTo>
                  <a:pt x="120971" y="2696"/>
                  <a:pt x="77487" y="-9896"/>
                  <a:pt x="41695" y="8402"/>
                </a:cubicBezTo>
                <a:cubicBezTo>
                  <a:pt x="5981" y="26655"/>
                  <a:pt x="-9300" y="69138"/>
                  <a:pt x="5780" y="105565"/>
                </a:cubicBezTo>
                <a:cubicBezTo>
                  <a:pt x="6560" y="107491"/>
                  <a:pt x="7424" y="109377"/>
                  <a:pt x="8408" y="111304"/>
                </a:cubicBezTo>
                <a:lnTo>
                  <a:pt x="75157" y="241879"/>
                </a:lnTo>
                <a:lnTo>
                  <a:pt x="205727" y="175130"/>
                </a:lnTo>
                <a:cubicBezTo>
                  <a:pt x="207654" y="174145"/>
                  <a:pt x="209459" y="173123"/>
                  <a:pt x="211221" y="172016"/>
                </a:cubicBezTo>
                <a:cubicBezTo>
                  <a:pt x="244777" y="151322"/>
                  <a:pt x="257271" y="107939"/>
                  <a:pt x="239013" y="72224"/>
                </a:cubicBezTo>
                <a:close/>
              </a:path>
            </a:pathLst>
          </a:custGeom>
          <a:solidFill>
            <a:srgbClr val="FF7B89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grpSp>
        <xdr:nvGrpSpPr>
          <xdr:cNvPr id="2089" name="Graphic 932">
            <a:extLst>
              <a:ext uri="{FF2B5EF4-FFF2-40B4-BE49-F238E27FC236}">
                <a16:creationId xmlns:a16="http://schemas.microsoft.com/office/drawing/2014/main" id="{D912EAF1-3DE9-CF99-5DD5-8BEA4DB708F6}"/>
              </a:ext>
            </a:extLst>
          </xdr:cNvPr>
          <xdr:cNvGrpSpPr/>
        </xdr:nvGrpSpPr>
        <xdr:grpSpPr>
          <a:xfrm>
            <a:off x="7481184" y="2650332"/>
            <a:ext cx="186026" cy="229098"/>
            <a:chOff x="7792610" y="2564228"/>
            <a:chExt cx="186026" cy="229098"/>
          </a:xfrm>
        </xdr:grpSpPr>
        <xdr:sp macro="" textlink="">
          <xdr:nvSpPr>
            <xdr:cNvPr id="2095" name="Freeform 2094">
              <a:extLst>
                <a:ext uri="{FF2B5EF4-FFF2-40B4-BE49-F238E27FC236}">
                  <a16:creationId xmlns:a16="http://schemas.microsoft.com/office/drawing/2014/main" id="{A5EC00A7-8B32-2CFA-3FFE-C6C9D02EAD14}"/>
                </a:ext>
              </a:extLst>
            </xdr:cNvPr>
            <xdr:cNvSpPr/>
          </xdr:nvSpPr>
          <xdr:spPr>
            <a:xfrm>
              <a:off x="7849522" y="2564228"/>
              <a:ext cx="1540" cy="1153"/>
            </a:xfrm>
            <a:custGeom>
              <a:avLst/>
              <a:gdLst>
                <a:gd name="connsiteX0" fmla="*/ 0 w 1540"/>
                <a:gd name="connsiteY0" fmla="*/ 0 h 1153"/>
                <a:gd name="connsiteX1" fmla="*/ 868 w 1540"/>
                <a:gd name="connsiteY1" fmla="*/ 1153 h 1153"/>
                <a:gd name="connsiteX2" fmla="*/ 1540 w 1540"/>
                <a:gd name="connsiteY2" fmla="*/ 945 h 1153"/>
                <a:gd name="connsiteX3" fmla="*/ 0 w 1540"/>
                <a:gd name="connsiteY3" fmla="*/ 0 h 115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540" h="1153">
                  <a:moveTo>
                    <a:pt x="0" y="0"/>
                  </a:moveTo>
                  <a:cubicBezTo>
                    <a:pt x="262" y="411"/>
                    <a:pt x="612" y="736"/>
                    <a:pt x="868" y="1153"/>
                  </a:cubicBezTo>
                  <a:cubicBezTo>
                    <a:pt x="1086" y="1059"/>
                    <a:pt x="1321" y="1035"/>
                    <a:pt x="1540" y="945"/>
                  </a:cubicBezTo>
                  <a:cubicBezTo>
                    <a:pt x="1042" y="598"/>
                    <a:pt x="505" y="330"/>
                    <a:pt x="0" y="0"/>
                  </a:cubicBezTo>
                  <a:close/>
                </a:path>
              </a:pathLst>
            </a:custGeom>
            <a:solidFill>
              <a:srgbClr val="FF7B89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096" name="Freeform 2095">
              <a:extLst>
                <a:ext uri="{FF2B5EF4-FFF2-40B4-BE49-F238E27FC236}">
                  <a16:creationId xmlns:a16="http://schemas.microsoft.com/office/drawing/2014/main" id="{566A5147-3407-7844-5F4D-85590EEFA845}"/>
                </a:ext>
              </a:extLst>
            </xdr:cNvPr>
            <xdr:cNvSpPr/>
          </xdr:nvSpPr>
          <xdr:spPr>
            <a:xfrm>
              <a:off x="7792610" y="2594340"/>
              <a:ext cx="186026" cy="198986"/>
            </a:xfrm>
            <a:custGeom>
              <a:avLst/>
              <a:gdLst>
                <a:gd name="connsiteX0" fmla="*/ 177625 w 186026"/>
                <a:gd name="connsiteY0" fmla="*/ 29332 h 198986"/>
                <a:gd name="connsiteX1" fmla="*/ 150831 w 186026"/>
                <a:gd name="connsiteY1" fmla="*/ 0 h 198986"/>
                <a:gd name="connsiteX2" fmla="*/ 155182 w 186026"/>
                <a:gd name="connsiteY2" fmla="*/ 6832 h 198986"/>
                <a:gd name="connsiteX3" fmla="*/ 127393 w 186026"/>
                <a:gd name="connsiteY3" fmla="*/ 106625 h 198986"/>
                <a:gd name="connsiteX4" fmla="*/ 121895 w 186026"/>
                <a:gd name="connsiteY4" fmla="*/ 109738 h 198986"/>
                <a:gd name="connsiteX5" fmla="*/ 0 w 186026"/>
                <a:gd name="connsiteY5" fmla="*/ 172051 h 198986"/>
                <a:gd name="connsiteX6" fmla="*/ 13768 w 186026"/>
                <a:gd name="connsiteY6" fmla="*/ 198987 h 198986"/>
                <a:gd name="connsiteX7" fmla="*/ 144339 w 186026"/>
                <a:gd name="connsiteY7" fmla="*/ 132238 h 198986"/>
                <a:gd name="connsiteX8" fmla="*/ 149836 w 186026"/>
                <a:gd name="connsiteY8" fmla="*/ 129125 h 198986"/>
                <a:gd name="connsiteX9" fmla="*/ 177625 w 186026"/>
                <a:gd name="connsiteY9" fmla="*/ 29332 h 19898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</a:cxnLst>
              <a:rect l="l" t="t" r="r" b="b"/>
              <a:pathLst>
                <a:path w="186026" h="198986">
                  <a:moveTo>
                    <a:pt x="177625" y="29332"/>
                  </a:moveTo>
                  <a:cubicBezTo>
                    <a:pt x="171264" y="16858"/>
                    <a:pt x="161826" y="7065"/>
                    <a:pt x="150831" y="0"/>
                  </a:cubicBezTo>
                  <a:cubicBezTo>
                    <a:pt x="152301" y="2259"/>
                    <a:pt x="153932" y="4378"/>
                    <a:pt x="155182" y="6832"/>
                  </a:cubicBezTo>
                  <a:cubicBezTo>
                    <a:pt x="173440" y="42546"/>
                    <a:pt x="160945" y="85930"/>
                    <a:pt x="127393" y="106625"/>
                  </a:cubicBezTo>
                  <a:cubicBezTo>
                    <a:pt x="125628" y="107731"/>
                    <a:pt x="123826" y="108753"/>
                    <a:pt x="121895" y="109738"/>
                  </a:cubicBezTo>
                  <a:lnTo>
                    <a:pt x="0" y="172051"/>
                  </a:lnTo>
                  <a:lnTo>
                    <a:pt x="13768" y="198987"/>
                  </a:lnTo>
                  <a:lnTo>
                    <a:pt x="144339" y="132238"/>
                  </a:lnTo>
                  <a:cubicBezTo>
                    <a:pt x="146266" y="131254"/>
                    <a:pt x="148071" y="130228"/>
                    <a:pt x="149836" y="129125"/>
                  </a:cubicBezTo>
                  <a:cubicBezTo>
                    <a:pt x="183389" y="108431"/>
                    <a:pt x="195880" y="65047"/>
                    <a:pt x="177625" y="29332"/>
                  </a:cubicBezTo>
                  <a:close/>
                </a:path>
              </a:pathLst>
            </a:custGeom>
            <a:solidFill>
              <a:srgbClr val="CE3E5A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grpSp>
        <xdr:nvGrpSpPr>
          <xdr:cNvPr id="2090" name="Graphic 932">
            <a:extLst>
              <a:ext uri="{FF2B5EF4-FFF2-40B4-BE49-F238E27FC236}">
                <a16:creationId xmlns:a16="http://schemas.microsoft.com/office/drawing/2014/main" id="{4FB80EC0-06D5-0FE7-AF2A-943456537867}"/>
              </a:ext>
            </a:extLst>
          </xdr:cNvPr>
          <xdr:cNvGrpSpPr/>
        </xdr:nvGrpSpPr>
        <xdr:grpSpPr>
          <a:xfrm>
            <a:off x="7182762" y="2938808"/>
            <a:ext cx="372738" cy="228133"/>
            <a:chOff x="7494188" y="2852704"/>
            <a:chExt cx="372738" cy="228133"/>
          </a:xfrm>
        </xdr:grpSpPr>
        <xdr:sp macro="" textlink="">
          <xdr:nvSpPr>
            <xdr:cNvPr id="2091" name="Freeform 2090">
              <a:extLst>
                <a:ext uri="{FF2B5EF4-FFF2-40B4-BE49-F238E27FC236}">
                  <a16:creationId xmlns:a16="http://schemas.microsoft.com/office/drawing/2014/main" id="{27C71279-3E56-680E-E75A-69B875AA4EA1}"/>
                </a:ext>
              </a:extLst>
            </xdr:cNvPr>
            <xdr:cNvSpPr/>
          </xdr:nvSpPr>
          <xdr:spPr>
            <a:xfrm>
              <a:off x="7514898" y="2903622"/>
              <a:ext cx="331319" cy="128188"/>
            </a:xfrm>
            <a:custGeom>
              <a:avLst/>
              <a:gdLst>
                <a:gd name="connsiteX0" fmla="*/ 0 w 331319"/>
                <a:gd name="connsiteY0" fmla="*/ 1 h 128188"/>
                <a:gd name="connsiteX1" fmla="*/ 74176 w 331319"/>
                <a:gd name="connsiteY1" fmla="*/ 128188 h 128188"/>
                <a:gd name="connsiteX2" fmla="*/ 165658 w 331319"/>
                <a:gd name="connsiteY2" fmla="*/ 97607 h 128188"/>
                <a:gd name="connsiteX3" fmla="*/ 257143 w 331319"/>
                <a:gd name="connsiteY3" fmla="*/ 128187 h 128188"/>
                <a:gd name="connsiteX4" fmla="*/ 331319 w 331319"/>
                <a:gd name="connsiteY4" fmla="*/ 0 h 128188"/>
                <a:gd name="connsiteX5" fmla="*/ 165658 w 331319"/>
                <a:gd name="connsiteY5" fmla="*/ 53151 h 128188"/>
                <a:gd name="connsiteX6" fmla="*/ 0 w 331319"/>
                <a:gd name="connsiteY6" fmla="*/ 1 h 12818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331319" h="128188">
                  <a:moveTo>
                    <a:pt x="0" y="1"/>
                  </a:moveTo>
                  <a:cubicBezTo>
                    <a:pt x="9605" y="53604"/>
                    <a:pt x="36832" y="99425"/>
                    <a:pt x="74176" y="128188"/>
                  </a:cubicBezTo>
                  <a:cubicBezTo>
                    <a:pt x="95727" y="109569"/>
                    <a:pt x="128704" y="97607"/>
                    <a:pt x="165658" y="97607"/>
                  </a:cubicBezTo>
                  <a:cubicBezTo>
                    <a:pt x="202612" y="97607"/>
                    <a:pt x="235590" y="109568"/>
                    <a:pt x="257143" y="128187"/>
                  </a:cubicBezTo>
                  <a:cubicBezTo>
                    <a:pt x="294486" y="99425"/>
                    <a:pt x="321712" y="53603"/>
                    <a:pt x="331319" y="0"/>
                  </a:cubicBezTo>
                  <a:cubicBezTo>
                    <a:pt x="287765" y="32956"/>
                    <a:pt x="229553" y="53151"/>
                    <a:pt x="165658" y="53151"/>
                  </a:cubicBezTo>
                  <a:cubicBezTo>
                    <a:pt x="101764" y="53151"/>
                    <a:pt x="43554" y="32957"/>
                    <a:pt x="0" y="1"/>
                  </a:cubicBezTo>
                  <a:close/>
                </a:path>
              </a:pathLst>
            </a:custGeom>
            <a:solidFill>
              <a:srgbClr val="8F83AB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092" name="Freeform 2091">
              <a:extLst>
                <a:ext uri="{FF2B5EF4-FFF2-40B4-BE49-F238E27FC236}">
                  <a16:creationId xmlns:a16="http://schemas.microsoft.com/office/drawing/2014/main" id="{EFBF11E5-7CED-F6DF-039B-324C69811404}"/>
                </a:ext>
              </a:extLst>
            </xdr:cNvPr>
            <xdr:cNvSpPr/>
          </xdr:nvSpPr>
          <xdr:spPr>
            <a:xfrm>
              <a:off x="7603140" y="3018040"/>
              <a:ext cx="154832" cy="45986"/>
            </a:xfrm>
            <a:custGeom>
              <a:avLst/>
              <a:gdLst>
                <a:gd name="connsiteX0" fmla="*/ 0 w 154832"/>
                <a:gd name="connsiteY0" fmla="*/ 23481 h 45986"/>
                <a:gd name="connsiteX1" fmla="*/ 77415 w 154832"/>
                <a:gd name="connsiteY1" fmla="*/ 45987 h 45986"/>
                <a:gd name="connsiteX2" fmla="*/ 154833 w 154832"/>
                <a:gd name="connsiteY2" fmla="*/ 23481 h 45986"/>
                <a:gd name="connsiteX3" fmla="*/ 77415 w 154832"/>
                <a:gd name="connsiteY3" fmla="*/ 0 h 45986"/>
                <a:gd name="connsiteX4" fmla="*/ 0 w 154832"/>
                <a:gd name="connsiteY4" fmla="*/ 23481 h 4598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54832" h="45986">
                  <a:moveTo>
                    <a:pt x="0" y="23481"/>
                  </a:moveTo>
                  <a:cubicBezTo>
                    <a:pt x="23229" y="37814"/>
                    <a:pt x="49528" y="45987"/>
                    <a:pt x="77415" y="45987"/>
                  </a:cubicBezTo>
                  <a:cubicBezTo>
                    <a:pt x="105303" y="45987"/>
                    <a:pt x="131604" y="37814"/>
                    <a:pt x="154833" y="23481"/>
                  </a:cubicBezTo>
                  <a:cubicBezTo>
                    <a:pt x="136354" y="9148"/>
                    <a:pt x="108519" y="0"/>
                    <a:pt x="77415" y="0"/>
                  </a:cubicBezTo>
                  <a:cubicBezTo>
                    <a:pt x="46312" y="0"/>
                    <a:pt x="18479" y="9148"/>
                    <a:pt x="0" y="23481"/>
                  </a:cubicBezTo>
                  <a:close/>
                </a:path>
              </a:pathLst>
            </a:custGeom>
            <a:solidFill>
              <a:srgbClr val="FF7B89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093" name="Freeform 2092">
              <a:extLst>
                <a:ext uri="{FF2B5EF4-FFF2-40B4-BE49-F238E27FC236}">
                  <a16:creationId xmlns:a16="http://schemas.microsoft.com/office/drawing/2014/main" id="{21160A47-BE07-7E9F-C4AA-7D3E267FB007}"/>
                </a:ext>
              </a:extLst>
            </xdr:cNvPr>
            <xdr:cNvSpPr/>
          </xdr:nvSpPr>
          <xdr:spPr>
            <a:xfrm>
              <a:off x="7511131" y="2869515"/>
              <a:ext cx="338853" cy="70446"/>
            </a:xfrm>
            <a:custGeom>
              <a:avLst/>
              <a:gdLst>
                <a:gd name="connsiteX0" fmla="*/ 338095 w 338853"/>
                <a:gd name="connsiteY0" fmla="*/ 10022 h 70446"/>
                <a:gd name="connsiteX1" fmla="*/ 338854 w 338853"/>
                <a:gd name="connsiteY1" fmla="*/ 0 h 70446"/>
                <a:gd name="connsiteX2" fmla="*/ 0 w 338853"/>
                <a:gd name="connsiteY2" fmla="*/ 0 h 70446"/>
                <a:gd name="connsiteX3" fmla="*/ 759 w 338853"/>
                <a:gd name="connsiteY3" fmla="*/ 10023 h 70446"/>
                <a:gd name="connsiteX4" fmla="*/ 169425 w 338853"/>
                <a:gd name="connsiteY4" fmla="*/ 70447 h 70446"/>
                <a:gd name="connsiteX5" fmla="*/ 338095 w 338853"/>
                <a:gd name="connsiteY5" fmla="*/ 10022 h 7044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</a:cxnLst>
              <a:rect l="l" t="t" r="r" b="b"/>
              <a:pathLst>
                <a:path w="338853" h="70446">
                  <a:moveTo>
                    <a:pt x="338095" y="10022"/>
                  </a:moveTo>
                  <a:cubicBezTo>
                    <a:pt x="338349" y="6682"/>
                    <a:pt x="338738" y="3386"/>
                    <a:pt x="338854" y="0"/>
                  </a:cubicBezTo>
                  <a:lnTo>
                    <a:pt x="0" y="0"/>
                  </a:lnTo>
                  <a:cubicBezTo>
                    <a:pt x="116" y="3386"/>
                    <a:pt x="505" y="6682"/>
                    <a:pt x="759" y="10023"/>
                  </a:cubicBezTo>
                  <a:cubicBezTo>
                    <a:pt x="42387" y="47086"/>
                    <a:pt x="102560" y="70447"/>
                    <a:pt x="169425" y="70447"/>
                  </a:cubicBezTo>
                  <a:cubicBezTo>
                    <a:pt x="236290" y="70447"/>
                    <a:pt x="296467" y="47086"/>
                    <a:pt x="338095" y="10022"/>
                  </a:cubicBezTo>
                  <a:close/>
                </a:path>
              </a:pathLst>
            </a:custGeom>
            <a:solidFill>
              <a:srgbClr val="FFFFFF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094" name="Freeform 2093">
              <a:extLst>
                <a:ext uri="{FF2B5EF4-FFF2-40B4-BE49-F238E27FC236}">
                  <a16:creationId xmlns:a16="http://schemas.microsoft.com/office/drawing/2014/main" id="{5A4CBA41-956A-99A5-C6D4-AD937CD9C796}"/>
                </a:ext>
              </a:extLst>
            </xdr:cNvPr>
            <xdr:cNvSpPr/>
          </xdr:nvSpPr>
          <xdr:spPr>
            <a:xfrm>
              <a:off x="7494188" y="2852704"/>
              <a:ext cx="372738" cy="228133"/>
            </a:xfrm>
            <a:custGeom>
              <a:avLst/>
              <a:gdLst>
                <a:gd name="connsiteX0" fmla="*/ 0 w 372738"/>
                <a:gd name="connsiteY0" fmla="*/ 0 h 228133"/>
                <a:gd name="connsiteX1" fmla="*/ 0 w 372738"/>
                <a:gd name="connsiteY1" fmla="*/ 8406 h 228133"/>
                <a:gd name="connsiteX2" fmla="*/ 186367 w 372738"/>
                <a:gd name="connsiteY2" fmla="*/ 228133 h 228133"/>
                <a:gd name="connsiteX3" fmla="*/ 372738 w 372738"/>
                <a:gd name="connsiteY3" fmla="*/ 8406 h 228133"/>
                <a:gd name="connsiteX4" fmla="*/ 372738 w 372738"/>
                <a:gd name="connsiteY4" fmla="*/ 0 h 228133"/>
                <a:gd name="connsiteX5" fmla="*/ 0 w 372738"/>
                <a:gd name="connsiteY5" fmla="*/ 0 h 228133"/>
                <a:gd name="connsiteX6" fmla="*/ 355037 w 372738"/>
                <a:gd name="connsiteY6" fmla="*/ 26833 h 228133"/>
                <a:gd name="connsiteX7" fmla="*/ 186367 w 372738"/>
                <a:gd name="connsiteY7" fmla="*/ 87258 h 228133"/>
                <a:gd name="connsiteX8" fmla="*/ 17701 w 372738"/>
                <a:gd name="connsiteY8" fmla="*/ 26834 h 228133"/>
                <a:gd name="connsiteX9" fmla="*/ 16942 w 372738"/>
                <a:gd name="connsiteY9" fmla="*/ 16811 h 228133"/>
                <a:gd name="connsiteX10" fmla="*/ 355796 w 372738"/>
                <a:gd name="connsiteY10" fmla="*/ 16811 h 228133"/>
                <a:gd name="connsiteX11" fmla="*/ 355037 w 372738"/>
                <a:gd name="connsiteY11" fmla="*/ 26833 h 228133"/>
                <a:gd name="connsiteX12" fmla="*/ 186367 w 372738"/>
                <a:gd name="connsiteY12" fmla="*/ 211323 h 228133"/>
                <a:gd name="connsiteX13" fmla="*/ 108952 w 372738"/>
                <a:gd name="connsiteY13" fmla="*/ 188818 h 228133"/>
                <a:gd name="connsiteX14" fmla="*/ 186367 w 372738"/>
                <a:gd name="connsiteY14" fmla="*/ 165337 h 228133"/>
                <a:gd name="connsiteX15" fmla="*/ 263785 w 372738"/>
                <a:gd name="connsiteY15" fmla="*/ 188817 h 228133"/>
                <a:gd name="connsiteX16" fmla="*/ 186367 w 372738"/>
                <a:gd name="connsiteY16" fmla="*/ 211323 h 228133"/>
                <a:gd name="connsiteX17" fmla="*/ 186367 w 372738"/>
                <a:gd name="connsiteY17" fmla="*/ 148525 h 228133"/>
                <a:gd name="connsiteX18" fmla="*/ 94885 w 372738"/>
                <a:gd name="connsiteY18" fmla="*/ 179106 h 228133"/>
                <a:gd name="connsiteX19" fmla="*/ 20709 w 372738"/>
                <a:gd name="connsiteY19" fmla="*/ 50919 h 228133"/>
                <a:gd name="connsiteX20" fmla="*/ 186367 w 372738"/>
                <a:gd name="connsiteY20" fmla="*/ 104069 h 228133"/>
                <a:gd name="connsiteX21" fmla="*/ 352029 w 372738"/>
                <a:gd name="connsiteY21" fmla="*/ 50918 h 228133"/>
                <a:gd name="connsiteX22" fmla="*/ 277852 w 372738"/>
                <a:gd name="connsiteY22" fmla="*/ 179105 h 228133"/>
                <a:gd name="connsiteX23" fmla="*/ 186367 w 372738"/>
                <a:gd name="connsiteY23" fmla="*/ 148525 h 22813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</a:cxnLst>
              <a:rect l="l" t="t" r="r" b="b"/>
              <a:pathLst>
                <a:path w="372738" h="228133">
                  <a:moveTo>
                    <a:pt x="0" y="0"/>
                  </a:moveTo>
                  <a:lnTo>
                    <a:pt x="0" y="8406"/>
                  </a:lnTo>
                  <a:cubicBezTo>
                    <a:pt x="0" y="129566"/>
                    <a:pt x="83596" y="228133"/>
                    <a:pt x="186367" y="228133"/>
                  </a:cubicBezTo>
                  <a:cubicBezTo>
                    <a:pt x="289139" y="228133"/>
                    <a:pt x="372738" y="129566"/>
                    <a:pt x="372738" y="8406"/>
                  </a:cubicBezTo>
                  <a:lnTo>
                    <a:pt x="372738" y="0"/>
                  </a:lnTo>
                  <a:lnTo>
                    <a:pt x="0" y="0"/>
                  </a:lnTo>
                  <a:close/>
                  <a:moveTo>
                    <a:pt x="355037" y="26833"/>
                  </a:moveTo>
                  <a:cubicBezTo>
                    <a:pt x="313409" y="63897"/>
                    <a:pt x="253235" y="87258"/>
                    <a:pt x="186367" y="87258"/>
                  </a:cubicBezTo>
                  <a:cubicBezTo>
                    <a:pt x="119501" y="87258"/>
                    <a:pt x="59329" y="63897"/>
                    <a:pt x="17701" y="26834"/>
                  </a:cubicBezTo>
                  <a:cubicBezTo>
                    <a:pt x="17447" y="23492"/>
                    <a:pt x="17058" y="20197"/>
                    <a:pt x="16942" y="16811"/>
                  </a:cubicBezTo>
                  <a:lnTo>
                    <a:pt x="355796" y="16811"/>
                  </a:lnTo>
                  <a:cubicBezTo>
                    <a:pt x="355680" y="20197"/>
                    <a:pt x="355291" y="23492"/>
                    <a:pt x="355037" y="26833"/>
                  </a:cubicBezTo>
                  <a:close/>
                  <a:moveTo>
                    <a:pt x="186367" y="211323"/>
                  </a:moveTo>
                  <a:cubicBezTo>
                    <a:pt x="158480" y="211323"/>
                    <a:pt x="132180" y="203150"/>
                    <a:pt x="108952" y="188818"/>
                  </a:cubicBezTo>
                  <a:cubicBezTo>
                    <a:pt x="127431" y="174484"/>
                    <a:pt x="155265" y="165337"/>
                    <a:pt x="186367" y="165337"/>
                  </a:cubicBezTo>
                  <a:cubicBezTo>
                    <a:pt x="217470" y="165337"/>
                    <a:pt x="245306" y="174484"/>
                    <a:pt x="263785" y="188817"/>
                  </a:cubicBezTo>
                  <a:cubicBezTo>
                    <a:pt x="240556" y="203150"/>
                    <a:pt x="214256" y="211323"/>
                    <a:pt x="186367" y="211323"/>
                  </a:cubicBezTo>
                  <a:close/>
                  <a:moveTo>
                    <a:pt x="186367" y="148525"/>
                  </a:moveTo>
                  <a:cubicBezTo>
                    <a:pt x="149413" y="148525"/>
                    <a:pt x="116436" y="160487"/>
                    <a:pt x="94885" y="179106"/>
                  </a:cubicBezTo>
                  <a:cubicBezTo>
                    <a:pt x="57541" y="150344"/>
                    <a:pt x="30314" y="104522"/>
                    <a:pt x="20709" y="50919"/>
                  </a:cubicBezTo>
                  <a:cubicBezTo>
                    <a:pt x="64263" y="83875"/>
                    <a:pt x="122473" y="104069"/>
                    <a:pt x="186367" y="104069"/>
                  </a:cubicBezTo>
                  <a:cubicBezTo>
                    <a:pt x="250262" y="104069"/>
                    <a:pt x="308474" y="83874"/>
                    <a:pt x="352029" y="50918"/>
                  </a:cubicBezTo>
                  <a:cubicBezTo>
                    <a:pt x="342421" y="104521"/>
                    <a:pt x="315196" y="150343"/>
                    <a:pt x="277852" y="179105"/>
                  </a:cubicBezTo>
                  <a:cubicBezTo>
                    <a:pt x="256300" y="160486"/>
                    <a:pt x="223323" y="148525"/>
                    <a:pt x="186367" y="148525"/>
                  </a:cubicBezTo>
                  <a:close/>
                </a:path>
              </a:pathLst>
            </a:custGeom>
            <a:solidFill>
              <a:srgbClr val="373030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</xdr:grpSp>
    <xdr:clientData/>
  </xdr:twoCellAnchor>
  <xdr:twoCellAnchor editAs="oneCell">
    <xdr:from>
      <xdr:col>14</xdr:col>
      <xdr:colOff>193699</xdr:colOff>
      <xdr:row>3</xdr:row>
      <xdr:rowOff>371569</xdr:rowOff>
    </xdr:from>
    <xdr:to>
      <xdr:col>15</xdr:col>
      <xdr:colOff>297599</xdr:colOff>
      <xdr:row>5</xdr:row>
      <xdr:rowOff>2511</xdr:rowOff>
    </xdr:to>
    <xdr:grpSp>
      <xdr:nvGrpSpPr>
        <xdr:cNvPr id="506" name="Group 505" descr="Pink sunglasses emoji">
          <a:extLst>
            <a:ext uri="{FF2B5EF4-FFF2-40B4-BE49-F238E27FC236}">
              <a16:creationId xmlns:a16="http://schemas.microsoft.com/office/drawing/2014/main" id="{C18975E5-4A99-E6D0-1356-E1AA6CE32AB4}"/>
            </a:ext>
          </a:extLst>
        </xdr:cNvPr>
        <xdr:cNvGrpSpPr>
          <a:grpSpLocks noChangeAspect="1"/>
        </xdr:cNvGrpSpPr>
      </xdr:nvGrpSpPr>
      <xdr:grpSpPr>
        <a:xfrm>
          <a:off x="24047474" y="2406744"/>
          <a:ext cx="640475" cy="462792"/>
          <a:chOff x="3305813" y="964949"/>
          <a:chExt cx="2259612" cy="1417777"/>
        </a:xfrm>
      </xdr:grpSpPr>
      <xdr:sp macro="" textlink="">
        <xdr:nvSpPr>
          <xdr:cNvPr id="507" name="Freeform 506">
            <a:extLst>
              <a:ext uri="{FF2B5EF4-FFF2-40B4-BE49-F238E27FC236}">
                <a16:creationId xmlns:a16="http://schemas.microsoft.com/office/drawing/2014/main" id="{C44D513E-AC5F-473C-110F-E9B7491A2F3B}"/>
              </a:ext>
            </a:extLst>
          </xdr:cNvPr>
          <xdr:cNvSpPr/>
        </xdr:nvSpPr>
        <xdr:spPr>
          <a:xfrm>
            <a:off x="3305813" y="964949"/>
            <a:ext cx="2259612" cy="1417777"/>
          </a:xfrm>
          <a:custGeom>
            <a:avLst/>
            <a:gdLst>
              <a:gd name="connsiteX0" fmla="*/ 2259607 w 2259612"/>
              <a:gd name="connsiteY0" fmla="*/ 624295 h 1417777"/>
              <a:gd name="connsiteX1" fmla="*/ 1779642 w 2259612"/>
              <a:gd name="connsiteY1" fmla="*/ 29459 h 1417777"/>
              <a:gd name="connsiteX2" fmla="*/ 1636576 w 2259612"/>
              <a:gd name="connsiteY2" fmla="*/ 68225 h 1417777"/>
              <a:gd name="connsiteX3" fmla="*/ 1599524 w 2259612"/>
              <a:gd name="connsiteY3" fmla="*/ 291015 h 1417777"/>
              <a:gd name="connsiteX4" fmla="*/ 1646387 w 2259612"/>
              <a:gd name="connsiteY4" fmla="*/ 424270 h 1417777"/>
              <a:gd name="connsiteX5" fmla="*/ 1711252 w 2259612"/>
              <a:gd name="connsiteY5" fmla="*/ 397790 h 1417777"/>
              <a:gd name="connsiteX6" fmla="*/ 1720873 w 2259612"/>
              <a:gd name="connsiteY6" fmla="*/ 250724 h 1417777"/>
              <a:gd name="connsiteX7" fmla="*/ 1789167 w 2259612"/>
              <a:gd name="connsiteY7" fmla="*/ 232246 h 1417777"/>
              <a:gd name="connsiteX8" fmla="*/ 2017195 w 2259612"/>
              <a:gd name="connsiteY8" fmla="*/ 569431 h 1417777"/>
              <a:gd name="connsiteX9" fmla="*/ 1806217 w 2259612"/>
              <a:gd name="connsiteY9" fmla="*/ 562097 h 1417777"/>
              <a:gd name="connsiteX10" fmla="*/ 1250814 w 2259612"/>
              <a:gd name="connsiteY10" fmla="*/ 818986 h 1417777"/>
              <a:gd name="connsiteX11" fmla="*/ 1139657 w 2259612"/>
              <a:gd name="connsiteY11" fmla="*/ 858705 h 1417777"/>
              <a:gd name="connsiteX12" fmla="*/ 995830 w 2259612"/>
              <a:gd name="connsiteY12" fmla="*/ 816795 h 1417777"/>
              <a:gd name="connsiteX13" fmla="*/ 364132 w 2259612"/>
              <a:gd name="connsiteY13" fmla="*/ 578194 h 1417777"/>
              <a:gd name="connsiteX14" fmla="*/ 1058409 w 2259612"/>
              <a:gd name="connsiteY14" fmla="*/ 251963 h 1417777"/>
              <a:gd name="connsiteX15" fmla="*/ 1192426 w 2259612"/>
              <a:gd name="connsiteY15" fmla="*/ 356452 h 1417777"/>
              <a:gd name="connsiteX16" fmla="*/ 1199665 w 2259612"/>
              <a:gd name="connsiteY16" fmla="*/ 473038 h 1417777"/>
              <a:gd name="connsiteX17" fmla="*/ 1278341 w 2259612"/>
              <a:gd name="connsiteY17" fmla="*/ 521139 h 1417777"/>
              <a:gd name="connsiteX18" fmla="*/ 1349207 w 2259612"/>
              <a:gd name="connsiteY18" fmla="*/ 408839 h 1417777"/>
              <a:gd name="connsiteX19" fmla="*/ 1346064 w 2259612"/>
              <a:gd name="connsiteY19" fmla="*/ 310351 h 1417777"/>
              <a:gd name="connsiteX20" fmla="*/ 1029358 w 2259612"/>
              <a:gd name="connsiteY20" fmla="*/ 105754 h 1417777"/>
              <a:gd name="connsiteX21" fmla="*/ 23041 w 2259612"/>
              <a:gd name="connsiteY21" fmla="*/ 524378 h 1417777"/>
              <a:gd name="connsiteX22" fmla="*/ 86 w 2259612"/>
              <a:gd name="connsiteY22" fmla="*/ 558191 h 1417777"/>
              <a:gd name="connsiteX23" fmla="*/ 8659 w 2259612"/>
              <a:gd name="connsiteY23" fmla="*/ 680016 h 1417777"/>
              <a:gd name="connsiteX24" fmla="*/ 67047 w 2259612"/>
              <a:gd name="connsiteY24" fmla="*/ 750215 h 1417777"/>
              <a:gd name="connsiteX25" fmla="*/ 558918 w 2259612"/>
              <a:gd name="connsiteY25" fmla="*/ 1410107 h 1417777"/>
              <a:gd name="connsiteX26" fmla="*/ 1041264 w 2259612"/>
              <a:gd name="connsiteY26" fmla="*/ 1128644 h 1417777"/>
              <a:gd name="connsiteX27" fmla="*/ 1137181 w 2259612"/>
              <a:gd name="connsiteY27" fmla="*/ 1074732 h 1417777"/>
              <a:gd name="connsiteX28" fmla="*/ 1242241 w 2259612"/>
              <a:gd name="connsiteY28" fmla="*/ 1124262 h 1417777"/>
              <a:gd name="connsiteX29" fmla="*/ 1747828 w 2259612"/>
              <a:gd name="connsiteY29" fmla="*/ 1394963 h 1417777"/>
              <a:gd name="connsiteX30" fmla="*/ 2179311 w 2259612"/>
              <a:gd name="connsiteY30" fmla="*/ 792411 h 1417777"/>
              <a:gd name="connsiteX31" fmla="*/ 2250177 w 2259612"/>
              <a:gd name="connsiteY31" fmla="*/ 711353 h 1417777"/>
              <a:gd name="connsiteX32" fmla="*/ 2259607 w 2259612"/>
              <a:gd name="connsiteY32" fmla="*/ 624295 h 141777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</a:cxnLst>
            <a:rect l="l" t="t" r="r" b="b"/>
            <a:pathLst>
              <a:path w="2259612" h="1417777">
                <a:moveTo>
                  <a:pt x="2259607" y="624295"/>
                </a:moveTo>
                <a:cubicBezTo>
                  <a:pt x="2261512" y="606293"/>
                  <a:pt x="1779642" y="29459"/>
                  <a:pt x="1779642" y="29459"/>
                </a:cubicBezTo>
                <a:cubicBezTo>
                  <a:pt x="1735065" y="-24167"/>
                  <a:pt x="1648102" y="-640"/>
                  <a:pt x="1636576" y="68225"/>
                </a:cubicBezTo>
                <a:lnTo>
                  <a:pt x="1599524" y="291015"/>
                </a:lnTo>
                <a:cubicBezTo>
                  <a:pt x="1591333" y="340545"/>
                  <a:pt x="1608954" y="390837"/>
                  <a:pt x="1646387" y="424270"/>
                </a:cubicBezTo>
                <a:cubicBezTo>
                  <a:pt x="1670581" y="445892"/>
                  <a:pt x="1709157" y="430175"/>
                  <a:pt x="1711252" y="397790"/>
                </a:cubicBezTo>
                <a:lnTo>
                  <a:pt x="1720873" y="250724"/>
                </a:lnTo>
                <a:cubicBezTo>
                  <a:pt x="1723254" y="215196"/>
                  <a:pt x="1769260" y="202718"/>
                  <a:pt x="1789167" y="232246"/>
                </a:cubicBezTo>
                <a:lnTo>
                  <a:pt x="2017195" y="569431"/>
                </a:lnTo>
                <a:cubicBezTo>
                  <a:pt x="1968427" y="561049"/>
                  <a:pt x="1896418" y="554191"/>
                  <a:pt x="1806217" y="562097"/>
                </a:cubicBezTo>
                <a:cubicBezTo>
                  <a:pt x="1605906" y="579813"/>
                  <a:pt x="1354351" y="745072"/>
                  <a:pt x="1250814" y="818986"/>
                </a:cubicBezTo>
                <a:cubicBezTo>
                  <a:pt x="1218143" y="842322"/>
                  <a:pt x="1179662" y="855943"/>
                  <a:pt x="1139657" y="858705"/>
                </a:cubicBezTo>
                <a:cubicBezTo>
                  <a:pt x="1088222" y="862229"/>
                  <a:pt x="1037454" y="847275"/>
                  <a:pt x="995830" y="816795"/>
                </a:cubicBezTo>
                <a:cubicBezTo>
                  <a:pt x="808187" y="679445"/>
                  <a:pt x="575396" y="590386"/>
                  <a:pt x="364132" y="578194"/>
                </a:cubicBezTo>
                <a:lnTo>
                  <a:pt x="1058409" y="251963"/>
                </a:lnTo>
                <a:cubicBezTo>
                  <a:pt x="1120036" y="224912"/>
                  <a:pt x="1194997" y="246057"/>
                  <a:pt x="1192426" y="356452"/>
                </a:cubicBezTo>
                <a:lnTo>
                  <a:pt x="1199665" y="473038"/>
                </a:lnTo>
                <a:cubicBezTo>
                  <a:pt x="1202046" y="512090"/>
                  <a:pt x="1242527" y="536760"/>
                  <a:pt x="1278341" y="521139"/>
                </a:cubicBezTo>
                <a:cubicBezTo>
                  <a:pt x="1322728" y="501708"/>
                  <a:pt x="1350826" y="457322"/>
                  <a:pt x="1349207" y="408839"/>
                </a:cubicBezTo>
                <a:lnTo>
                  <a:pt x="1346064" y="310351"/>
                </a:lnTo>
                <a:cubicBezTo>
                  <a:pt x="1340920" y="150236"/>
                  <a:pt x="1177376" y="44603"/>
                  <a:pt x="1029358" y="105754"/>
                </a:cubicBezTo>
                <a:lnTo>
                  <a:pt x="23041" y="524378"/>
                </a:lnTo>
                <a:cubicBezTo>
                  <a:pt x="9325" y="529235"/>
                  <a:pt x="-1057" y="542094"/>
                  <a:pt x="86" y="558191"/>
                </a:cubicBezTo>
                <a:lnTo>
                  <a:pt x="8659" y="680016"/>
                </a:lnTo>
                <a:cubicBezTo>
                  <a:pt x="11040" y="713544"/>
                  <a:pt x="34567" y="741833"/>
                  <a:pt x="67047" y="750215"/>
                </a:cubicBezTo>
                <a:cubicBezTo>
                  <a:pt x="67047" y="750215"/>
                  <a:pt x="204302" y="1329050"/>
                  <a:pt x="558918" y="1410107"/>
                </a:cubicBezTo>
                <a:cubicBezTo>
                  <a:pt x="787899" y="1462400"/>
                  <a:pt x="970684" y="1233990"/>
                  <a:pt x="1041264" y="1128644"/>
                </a:cubicBezTo>
                <a:cubicBezTo>
                  <a:pt x="1062886" y="1096449"/>
                  <a:pt x="1098414" y="1076637"/>
                  <a:pt x="1137181" y="1074732"/>
                </a:cubicBezTo>
                <a:cubicBezTo>
                  <a:pt x="1178329" y="1072637"/>
                  <a:pt x="1217762" y="1091115"/>
                  <a:pt x="1242241" y="1124262"/>
                </a:cubicBezTo>
                <a:cubicBezTo>
                  <a:pt x="1321299" y="1231514"/>
                  <a:pt x="1520276" y="1458780"/>
                  <a:pt x="1747828" y="1394963"/>
                </a:cubicBezTo>
                <a:cubicBezTo>
                  <a:pt x="2042818" y="1312286"/>
                  <a:pt x="2179311" y="792411"/>
                  <a:pt x="2179311" y="792411"/>
                </a:cubicBezTo>
                <a:cubicBezTo>
                  <a:pt x="2217697" y="783077"/>
                  <a:pt x="2246081" y="750596"/>
                  <a:pt x="2250177" y="711353"/>
                </a:cubicBezTo>
                <a:lnTo>
                  <a:pt x="2259607" y="624295"/>
                </a:lnTo>
                <a:close/>
              </a:path>
            </a:pathLst>
          </a:custGeom>
          <a:solidFill>
            <a:srgbClr val="FEB4B5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08" name="Freeform 507">
            <a:extLst>
              <a:ext uri="{FF2B5EF4-FFF2-40B4-BE49-F238E27FC236}">
                <a16:creationId xmlns:a16="http://schemas.microsoft.com/office/drawing/2014/main" id="{5094A1F8-559A-55A7-84B6-7B8C3388C25D}"/>
              </a:ext>
            </a:extLst>
          </xdr:cNvPr>
          <xdr:cNvSpPr/>
        </xdr:nvSpPr>
        <xdr:spPr>
          <a:xfrm>
            <a:off x="4577164" y="1630951"/>
            <a:ext cx="801537" cy="622572"/>
          </a:xfrm>
          <a:custGeom>
            <a:avLst/>
            <a:gdLst>
              <a:gd name="connsiteX0" fmla="*/ 799661 w 801537"/>
              <a:gd name="connsiteY0" fmla="*/ 97739 h 622572"/>
              <a:gd name="connsiteX1" fmla="*/ 752322 w 801537"/>
              <a:gd name="connsiteY1" fmla="*/ 17729 h 622572"/>
              <a:gd name="connsiteX2" fmla="*/ 511530 w 801537"/>
              <a:gd name="connsiteY2" fmla="*/ 12204 h 622572"/>
              <a:gd name="connsiteX3" fmla="*/ 20611 w 801537"/>
              <a:gd name="connsiteY3" fmla="*/ 271951 h 622572"/>
              <a:gd name="connsiteX4" fmla="*/ 12991 w 801537"/>
              <a:gd name="connsiteY4" fmla="*/ 353104 h 622572"/>
              <a:gd name="connsiteX5" fmla="*/ 469143 w 801537"/>
              <a:gd name="connsiteY5" fmla="*/ 615423 h 622572"/>
              <a:gd name="connsiteX6" fmla="*/ 799661 w 801537"/>
              <a:gd name="connsiteY6" fmla="*/ 97739 h 62257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801537" h="622572">
                <a:moveTo>
                  <a:pt x="799661" y="97739"/>
                </a:moveTo>
                <a:cubicBezTo>
                  <a:pt x="808043" y="61639"/>
                  <a:pt x="787659" y="29159"/>
                  <a:pt x="752322" y="17729"/>
                </a:cubicBezTo>
                <a:cubicBezTo>
                  <a:pt x="691076" y="-2274"/>
                  <a:pt x="594683" y="-7036"/>
                  <a:pt x="511530" y="12204"/>
                </a:cubicBezTo>
                <a:cubicBezTo>
                  <a:pt x="314076" y="58020"/>
                  <a:pt x="109194" y="196227"/>
                  <a:pt x="20611" y="271951"/>
                </a:cubicBezTo>
                <a:cubicBezTo>
                  <a:pt x="-3487" y="292525"/>
                  <a:pt x="-7011" y="328434"/>
                  <a:pt x="12991" y="353104"/>
                </a:cubicBezTo>
                <a:cubicBezTo>
                  <a:pt x="89953" y="447592"/>
                  <a:pt x="289978" y="664572"/>
                  <a:pt x="469143" y="615423"/>
                </a:cubicBezTo>
                <a:cubicBezTo>
                  <a:pt x="636593" y="569417"/>
                  <a:pt x="766514" y="240138"/>
                  <a:pt x="799661" y="97739"/>
                </a:cubicBezTo>
                <a:close/>
              </a:path>
            </a:pathLst>
          </a:custGeom>
          <a:solidFill>
            <a:schemeClr val="tx1">
              <a:lumMod val="85000"/>
              <a:lumOff val="15000"/>
            </a:schemeClr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09" name="Freeform 508">
            <a:extLst>
              <a:ext uri="{FF2B5EF4-FFF2-40B4-BE49-F238E27FC236}">
                <a16:creationId xmlns:a16="http://schemas.microsoft.com/office/drawing/2014/main" id="{6210061A-A9CD-632E-007F-0414583B4A3A}"/>
              </a:ext>
            </a:extLst>
          </xdr:cNvPr>
          <xdr:cNvSpPr/>
        </xdr:nvSpPr>
        <xdr:spPr>
          <a:xfrm>
            <a:off x="3508618" y="1657565"/>
            <a:ext cx="807548" cy="616942"/>
          </a:xfrm>
          <a:custGeom>
            <a:avLst/>
            <a:gdLst>
              <a:gd name="connsiteX0" fmla="*/ 2545 w 807548"/>
              <a:gd name="connsiteY0" fmla="*/ 102176 h 616942"/>
              <a:gd name="connsiteX1" fmla="*/ 47789 w 807548"/>
              <a:gd name="connsiteY1" fmla="*/ 20928 h 616942"/>
              <a:gd name="connsiteX2" fmla="*/ 288390 w 807548"/>
              <a:gd name="connsiteY2" fmla="*/ 9308 h 616942"/>
              <a:gd name="connsiteX3" fmla="*/ 785786 w 807548"/>
              <a:gd name="connsiteY3" fmla="*/ 256481 h 616942"/>
              <a:gd name="connsiteX4" fmla="*/ 795406 w 807548"/>
              <a:gd name="connsiteY4" fmla="*/ 337349 h 616942"/>
              <a:gd name="connsiteX5" fmla="*/ 346016 w 807548"/>
              <a:gd name="connsiteY5" fmla="*/ 611097 h 616942"/>
              <a:gd name="connsiteX6" fmla="*/ 2545 w 807548"/>
              <a:gd name="connsiteY6" fmla="*/ 102176 h 61694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807548" h="616942">
                <a:moveTo>
                  <a:pt x="2545" y="102176"/>
                </a:moveTo>
                <a:cubicBezTo>
                  <a:pt x="-7456" y="66458"/>
                  <a:pt x="12927" y="33501"/>
                  <a:pt x="47789" y="20928"/>
                </a:cubicBezTo>
                <a:cubicBezTo>
                  <a:pt x="105320" y="259"/>
                  <a:pt x="204761" y="-7837"/>
                  <a:pt x="288390" y="9308"/>
                </a:cubicBezTo>
                <a:cubicBezTo>
                  <a:pt x="486891" y="50075"/>
                  <a:pt x="695203" y="183139"/>
                  <a:pt x="785786" y="256481"/>
                </a:cubicBezTo>
                <a:cubicBezTo>
                  <a:pt x="810455" y="276484"/>
                  <a:pt x="814837" y="312298"/>
                  <a:pt x="795406" y="337349"/>
                </a:cubicBezTo>
                <a:cubicBezTo>
                  <a:pt x="720920" y="433742"/>
                  <a:pt x="526420" y="655674"/>
                  <a:pt x="346016" y="611097"/>
                </a:cubicBezTo>
                <a:cubicBezTo>
                  <a:pt x="177519" y="569568"/>
                  <a:pt x="39216" y="233050"/>
                  <a:pt x="2545" y="102176"/>
                </a:cubicBezTo>
                <a:close/>
              </a:path>
            </a:pathLst>
          </a:custGeom>
          <a:solidFill>
            <a:schemeClr val="tx1">
              <a:lumMod val="85000"/>
              <a:lumOff val="15000"/>
            </a:schemeClr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10" name="Freeform 509">
            <a:extLst>
              <a:ext uri="{FF2B5EF4-FFF2-40B4-BE49-F238E27FC236}">
                <a16:creationId xmlns:a16="http://schemas.microsoft.com/office/drawing/2014/main" id="{6A15DE2F-E3E7-739A-0BB7-FE38EED6AF15}"/>
              </a:ext>
            </a:extLst>
          </xdr:cNvPr>
          <xdr:cNvSpPr/>
        </xdr:nvSpPr>
        <xdr:spPr>
          <a:xfrm>
            <a:off x="3689606" y="1709325"/>
            <a:ext cx="228590" cy="394215"/>
          </a:xfrm>
          <a:custGeom>
            <a:avLst/>
            <a:gdLst>
              <a:gd name="connsiteX0" fmla="*/ 186079 w 228590"/>
              <a:gd name="connsiteY0" fmla="*/ 11077 h 394215"/>
              <a:gd name="connsiteX1" fmla="*/ 2246 w 228590"/>
              <a:gd name="connsiteY1" fmla="*/ 362740 h 394215"/>
              <a:gd name="connsiteX2" fmla="*/ 41585 w 228590"/>
              <a:gd name="connsiteY2" fmla="*/ 382171 h 394215"/>
              <a:gd name="connsiteX3" fmla="*/ 225417 w 228590"/>
              <a:gd name="connsiteY3" fmla="*/ 30508 h 394215"/>
              <a:gd name="connsiteX4" fmla="*/ 186079 w 228590"/>
              <a:gd name="connsiteY4" fmla="*/ 11077 h 394215"/>
              <a:gd name="connsiteX5" fmla="*/ 186079 w 228590"/>
              <a:gd name="connsiteY5" fmla="*/ 11077 h 39421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228590" h="394215">
                <a:moveTo>
                  <a:pt x="186079" y="11077"/>
                </a:moveTo>
                <a:cubicBezTo>
                  <a:pt x="118356" y="124806"/>
                  <a:pt x="58253" y="242820"/>
                  <a:pt x="2246" y="362740"/>
                </a:cubicBezTo>
                <a:cubicBezTo>
                  <a:pt x="-9755" y="388362"/>
                  <a:pt x="29678" y="407794"/>
                  <a:pt x="41585" y="382171"/>
                </a:cubicBezTo>
                <a:cubicBezTo>
                  <a:pt x="97592" y="262252"/>
                  <a:pt x="157694" y="144237"/>
                  <a:pt x="225417" y="30508"/>
                </a:cubicBezTo>
                <a:cubicBezTo>
                  <a:pt x="239990" y="6220"/>
                  <a:pt x="200462" y="-13021"/>
                  <a:pt x="186079" y="11077"/>
                </a:cubicBezTo>
                <a:lnTo>
                  <a:pt x="186079" y="11077"/>
                </a:ln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grpSp>
        <xdr:nvGrpSpPr>
          <xdr:cNvPr id="511" name="Graphic 24">
            <a:extLst>
              <a:ext uri="{FF2B5EF4-FFF2-40B4-BE49-F238E27FC236}">
                <a16:creationId xmlns:a16="http://schemas.microsoft.com/office/drawing/2014/main" id="{B5628F3C-CD43-8A25-A12A-1FDC5B8808AF}"/>
              </a:ext>
            </a:extLst>
          </xdr:cNvPr>
          <xdr:cNvGrpSpPr/>
        </xdr:nvGrpSpPr>
        <xdr:grpSpPr>
          <a:xfrm>
            <a:off x="4803010" y="1677200"/>
            <a:ext cx="408714" cy="536686"/>
            <a:chOff x="4803010" y="1677200"/>
            <a:chExt cx="408714" cy="536686"/>
          </a:xfrm>
          <a:solidFill>
            <a:srgbClr val="FFFFFF"/>
          </a:solidFill>
        </xdr:grpSpPr>
        <xdr:sp macro="" textlink="">
          <xdr:nvSpPr>
            <xdr:cNvPr id="129" name="Freeform 128">
              <a:extLst>
                <a:ext uri="{FF2B5EF4-FFF2-40B4-BE49-F238E27FC236}">
                  <a16:creationId xmlns:a16="http://schemas.microsoft.com/office/drawing/2014/main" id="{B8BDD08B-9D86-28A5-356E-A654192B4C59}"/>
                </a:ext>
              </a:extLst>
            </xdr:cNvPr>
            <xdr:cNvSpPr/>
          </xdr:nvSpPr>
          <xdr:spPr>
            <a:xfrm>
              <a:off x="4803010" y="1692436"/>
              <a:ext cx="269952" cy="488045"/>
            </a:xfrm>
            <a:custGeom>
              <a:avLst/>
              <a:gdLst>
                <a:gd name="connsiteX0" fmla="*/ 227581 w 269952"/>
                <a:gd name="connsiteY0" fmla="*/ 11203 h 488045"/>
                <a:gd name="connsiteX1" fmla="*/ 2029 w 269952"/>
                <a:gd name="connsiteY1" fmla="*/ 456401 h 488045"/>
                <a:gd name="connsiteX2" fmla="*/ 41367 w 269952"/>
                <a:gd name="connsiteY2" fmla="*/ 475832 h 488045"/>
                <a:gd name="connsiteX3" fmla="*/ 266919 w 269952"/>
                <a:gd name="connsiteY3" fmla="*/ 30634 h 488045"/>
                <a:gd name="connsiteX4" fmla="*/ 227581 w 269952"/>
                <a:gd name="connsiteY4" fmla="*/ 11203 h 48804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269952" h="488045">
                  <a:moveTo>
                    <a:pt x="227581" y="11203"/>
                  </a:moveTo>
                  <a:cubicBezTo>
                    <a:pt x="144237" y="155602"/>
                    <a:pt x="69180" y="303811"/>
                    <a:pt x="2029" y="456401"/>
                  </a:cubicBezTo>
                  <a:cubicBezTo>
                    <a:pt x="-9306" y="482214"/>
                    <a:pt x="30032" y="501740"/>
                    <a:pt x="41367" y="475832"/>
                  </a:cubicBezTo>
                  <a:cubicBezTo>
                    <a:pt x="108519" y="323242"/>
                    <a:pt x="183576" y="175033"/>
                    <a:pt x="266919" y="30634"/>
                  </a:cubicBezTo>
                  <a:cubicBezTo>
                    <a:pt x="281112" y="6154"/>
                    <a:pt x="241678" y="-13086"/>
                    <a:pt x="227581" y="11203"/>
                  </a:cubicBezTo>
                  <a:close/>
                </a:path>
              </a:pathLst>
            </a:custGeom>
            <a:solidFill>
              <a:srgbClr val="FFFFFF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130" name="Freeform 129">
              <a:extLst>
                <a:ext uri="{FF2B5EF4-FFF2-40B4-BE49-F238E27FC236}">
                  <a16:creationId xmlns:a16="http://schemas.microsoft.com/office/drawing/2014/main" id="{351B8AE5-9ABF-7454-1129-0B41A9798826}"/>
                </a:ext>
              </a:extLst>
            </xdr:cNvPr>
            <xdr:cNvSpPr/>
          </xdr:nvSpPr>
          <xdr:spPr>
            <a:xfrm>
              <a:off x="4978591" y="1677200"/>
              <a:ext cx="233133" cy="536686"/>
            </a:xfrm>
            <a:custGeom>
              <a:avLst/>
              <a:gdLst>
                <a:gd name="connsiteX0" fmla="*/ 190303 w 233133"/>
                <a:gd name="connsiteY0" fmla="*/ 10722 h 536686"/>
                <a:gd name="connsiteX1" fmla="*/ 85528 w 233133"/>
                <a:gd name="connsiteY1" fmla="*/ 203699 h 536686"/>
                <a:gd name="connsiteX2" fmla="*/ 116294 w 233133"/>
                <a:gd name="connsiteY2" fmla="*/ 233226 h 536686"/>
                <a:gd name="connsiteX3" fmla="*/ 756 w 233133"/>
                <a:gd name="connsiteY3" fmla="*/ 511547 h 536686"/>
                <a:gd name="connsiteX4" fmla="*/ 43904 w 233133"/>
                <a:gd name="connsiteY4" fmla="*/ 519834 h 536686"/>
                <a:gd name="connsiteX5" fmla="*/ 182016 w 233133"/>
                <a:gd name="connsiteY5" fmla="*/ 209128 h 536686"/>
                <a:gd name="connsiteX6" fmla="*/ 146012 w 233133"/>
                <a:gd name="connsiteY6" fmla="*/ 180934 h 536686"/>
                <a:gd name="connsiteX7" fmla="*/ 229737 w 233133"/>
                <a:gd name="connsiteY7" fmla="*/ 30153 h 536686"/>
                <a:gd name="connsiteX8" fmla="*/ 190303 w 233133"/>
                <a:gd name="connsiteY8" fmla="*/ 10722 h 53668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233133" h="536686">
                  <a:moveTo>
                    <a:pt x="190303" y="10722"/>
                  </a:moveTo>
                  <a:cubicBezTo>
                    <a:pt x="150679" y="72826"/>
                    <a:pt x="116103" y="136548"/>
                    <a:pt x="85528" y="203699"/>
                  </a:cubicBezTo>
                  <a:cubicBezTo>
                    <a:pt x="78003" y="220177"/>
                    <a:pt x="90291" y="239513"/>
                    <a:pt x="116294" y="233226"/>
                  </a:cubicBezTo>
                  <a:cubicBezTo>
                    <a:pt x="64383" y="320380"/>
                    <a:pt x="25902" y="412106"/>
                    <a:pt x="756" y="511547"/>
                  </a:cubicBezTo>
                  <a:cubicBezTo>
                    <a:pt x="-6198" y="538979"/>
                    <a:pt x="36951" y="547171"/>
                    <a:pt x="43904" y="519834"/>
                  </a:cubicBezTo>
                  <a:cubicBezTo>
                    <a:pt x="72479" y="406867"/>
                    <a:pt x="117723" y="305997"/>
                    <a:pt x="182016" y="209128"/>
                  </a:cubicBezTo>
                  <a:cubicBezTo>
                    <a:pt x="191637" y="194555"/>
                    <a:pt x="179159" y="172838"/>
                    <a:pt x="146012" y="180934"/>
                  </a:cubicBezTo>
                  <a:cubicBezTo>
                    <a:pt x="171444" y="129309"/>
                    <a:pt x="198685" y="79017"/>
                    <a:pt x="229737" y="30153"/>
                  </a:cubicBezTo>
                  <a:cubicBezTo>
                    <a:pt x="244881" y="6341"/>
                    <a:pt x="205353" y="-12804"/>
                    <a:pt x="190303" y="10722"/>
                  </a:cubicBezTo>
                  <a:close/>
                </a:path>
              </a:pathLst>
            </a:custGeom>
            <a:solidFill>
              <a:srgbClr val="FFFFFF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sp macro="" textlink="">
        <xdr:nvSpPr>
          <xdr:cNvPr id="128" name="Freeform 127">
            <a:extLst>
              <a:ext uri="{FF2B5EF4-FFF2-40B4-BE49-F238E27FC236}">
                <a16:creationId xmlns:a16="http://schemas.microsoft.com/office/drawing/2014/main" id="{2E6C9A39-2FBD-38A6-FB70-31B90E0C82D5}"/>
              </a:ext>
            </a:extLst>
          </xdr:cNvPr>
          <xdr:cNvSpPr/>
        </xdr:nvSpPr>
        <xdr:spPr>
          <a:xfrm>
            <a:off x="3793526" y="1774193"/>
            <a:ext cx="242581" cy="408680"/>
          </a:xfrm>
          <a:custGeom>
            <a:avLst/>
            <a:gdLst>
              <a:gd name="connsiteX0" fmla="*/ 214652 w 242581"/>
              <a:gd name="connsiteY0" fmla="*/ 6408 h 408680"/>
              <a:gd name="connsiteX1" fmla="*/ 1768 w 242581"/>
              <a:gd name="connsiteY1" fmla="*/ 385122 h 408680"/>
              <a:gd name="connsiteX2" fmla="*/ 31296 w 242581"/>
              <a:gd name="connsiteY2" fmla="*/ 399695 h 408680"/>
              <a:gd name="connsiteX3" fmla="*/ 239417 w 242581"/>
              <a:gd name="connsiteY3" fmla="*/ 28029 h 408680"/>
              <a:gd name="connsiteX4" fmla="*/ 214652 w 242581"/>
              <a:gd name="connsiteY4" fmla="*/ 6408 h 408680"/>
              <a:gd name="connsiteX5" fmla="*/ 214652 w 242581"/>
              <a:gd name="connsiteY5" fmla="*/ 6408 h 40868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242581" h="408680">
                <a:moveTo>
                  <a:pt x="214652" y="6408"/>
                </a:moveTo>
                <a:cubicBezTo>
                  <a:pt x="131975" y="125851"/>
                  <a:pt x="64919" y="254439"/>
                  <a:pt x="1768" y="385122"/>
                </a:cubicBezTo>
                <a:cubicBezTo>
                  <a:pt x="-7471" y="404267"/>
                  <a:pt x="22056" y="418840"/>
                  <a:pt x="31296" y="399695"/>
                </a:cubicBezTo>
                <a:cubicBezTo>
                  <a:pt x="93113" y="271679"/>
                  <a:pt x="158359" y="145187"/>
                  <a:pt x="239417" y="28029"/>
                </a:cubicBezTo>
                <a:cubicBezTo>
                  <a:pt x="251323" y="10789"/>
                  <a:pt x="226653" y="-11023"/>
                  <a:pt x="214652" y="6408"/>
                </a:cubicBezTo>
                <a:lnTo>
                  <a:pt x="214652" y="6408"/>
                </a:ln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  <xdr:twoCellAnchor editAs="oneCell">
    <xdr:from>
      <xdr:col>14</xdr:col>
      <xdr:colOff>126323</xdr:colOff>
      <xdr:row>5</xdr:row>
      <xdr:rowOff>476030</xdr:rowOff>
    </xdr:from>
    <xdr:to>
      <xdr:col>15</xdr:col>
      <xdr:colOff>371326</xdr:colOff>
      <xdr:row>6</xdr:row>
      <xdr:rowOff>236369</xdr:rowOff>
    </xdr:to>
    <xdr:grpSp>
      <xdr:nvGrpSpPr>
        <xdr:cNvPr id="33" name="Group 32" descr="Watermelon slice emoji">
          <a:extLst>
            <a:ext uri="{FF2B5EF4-FFF2-40B4-BE49-F238E27FC236}">
              <a16:creationId xmlns:a16="http://schemas.microsoft.com/office/drawing/2014/main" id="{908C51DD-58C7-F59F-5054-7CF3CEF28EFE}"/>
            </a:ext>
          </a:extLst>
        </xdr:cNvPr>
        <xdr:cNvGrpSpPr>
          <a:grpSpLocks noChangeAspect="1"/>
        </xdr:cNvGrpSpPr>
      </xdr:nvGrpSpPr>
      <xdr:grpSpPr>
        <a:xfrm>
          <a:off x="23973748" y="3343055"/>
          <a:ext cx="794278" cy="401689"/>
          <a:chOff x="1419688" y="1851926"/>
          <a:chExt cx="1541666" cy="720064"/>
        </a:xfrm>
      </xdr:grpSpPr>
      <xdr:sp macro="" textlink="">
        <xdr:nvSpPr>
          <xdr:cNvPr id="475" name="Freeform 474">
            <a:extLst>
              <a:ext uri="{FF2B5EF4-FFF2-40B4-BE49-F238E27FC236}">
                <a16:creationId xmlns:a16="http://schemas.microsoft.com/office/drawing/2014/main" id="{A6821E74-7A5B-056F-047B-15DEAC3DFD3B}"/>
              </a:ext>
            </a:extLst>
          </xdr:cNvPr>
          <xdr:cNvSpPr/>
        </xdr:nvSpPr>
        <xdr:spPr>
          <a:xfrm>
            <a:off x="1419688" y="1851926"/>
            <a:ext cx="1541666" cy="720064"/>
          </a:xfrm>
          <a:custGeom>
            <a:avLst/>
            <a:gdLst>
              <a:gd name="connsiteX0" fmla="*/ 702994 w 795446"/>
              <a:gd name="connsiteY0" fmla="*/ 239489 h 371528"/>
              <a:gd name="connsiteX1" fmla="*/ 789812 w 795446"/>
              <a:gd name="connsiteY1" fmla="*/ 86039 h 371528"/>
              <a:gd name="connsiteX2" fmla="*/ 788868 w 795446"/>
              <a:gd name="connsiteY2" fmla="*/ 14613 h 371528"/>
              <a:gd name="connsiteX3" fmla="*/ 782467 w 795446"/>
              <a:gd name="connsiteY3" fmla="*/ 7006 h 371528"/>
              <a:gd name="connsiteX4" fmla="*/ 688373 w 795446"/>
              <a:gd name="connsiteY4" fmla="*/ 19995 h 371528"/>
              <a:gd name="connsiteX5" fmla="*/ 619782 w 795446"/>
              <a:gd name="connsiteY5" fmla="*/ 22288 h 371528"/>
              <a:gd name="connsiteX6" fmla="*/ 493211 w 795446"/>
              <a:gd name="connsiteY6" fmla="*/ 27005 h 371528"/>
              <a:gd name="connsiteX7" fmla="*/ 348852 w 795446"/>
              <a:gd name="connsiteY7" fmla="*/ 21590 h 371528"/>
              <a:gd name="connsiteX8" fmla="*/ 288650 w 795446"/>
              <a:gd name="connsiteY8" fmla="*/ 28699 h 371528"/>
              <a:gd name="connsiteX9" fmla="*/ 257925 w 795446"/>
              <a:gd name="connsiteY9" fmla="*/ 53715 h 371528"/>
              <a:gd name="connsiteX10" fmla="*/ 217632 w 795446"/>
              <a:gd name="connsiteY10" fmla="*/ 96803 h 371528"/>
              <a:gd name="connsiteX11" fmla="*/ 183674 w 795446"/>
              <a:gd name="connsiteY11" fmla="*/ 80525 h 371528"/>
              <a:gd name="connsiteX12" fmla="*/ 173163 w 795446"/>
              <a:gd name="connsiteY12" fmla="*/ 51589 h 371528"/>
              <a:gd name="connsiteX13" fmla="*/ 109995 w 795446"/>
              <a:gd name="connsiteY13" fmla="*/ 45842 h 371528"/>
              <a:gd name="connsiteX14" fmla="*/ 99147 w 795446"/>
              <a:gd name="connsiteY14" fmla="*/ 20195 h 371528"/>
              <a:gd name="connsiteX15" fmla="*/ 3099 w 795446"/>
              <a:gd name="connsiteY15" fmla="*/ 38633 h 371528"/>
              <a:gd name="connsiteX16" fmla="*/ 70916 w 795446"/>
              <a:gd name="connsiteY16" fmla="*/ 181850 h 371528"/>
              <a:gd name="connsiteX17" fmla="*/ 396961 w 795446"/>
              <a:gd name="connsiteY17" fmla="*/ 370381 h 371528"/>
              <a:gd name="connsiteX18" fmla="*/ 702994 w 795446"/>
              <a:gd name="connsiteY18" fmla="*/ 239489 h 3715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795446" h="371528">
                <a:moveTo>
                  <a:pt x="702994" y="239489"/>
                </a:moveTo>
                <a:cubicBezTo>
                  <a:pt x="738301" y="195736"/>
                  <a:pt x="777919" y="141718"/>
                  <a:pt x="789812" y="86039"/>
                </a:cubicBezTo>
                <a:cubicBezTo>
                  <a:pt x="793787" y="67502"/>
                  <a:pt x="800659" y="34181"/>
                  <a:pt x="788868" y="14613"/>
                </a:cubicBezTo>
                <a:cubicBezTo>
                  <a:pt x="787150" y="11790"/>
                  <a:pt x="785028" y="9198"/>
                  <a:pt x="782467" y="7006"/>
                </a:cubicBezTo>
                <a:cubicBezTo>
                  <a:pt x="758413" y="-13392"/>
                  <a:pt x="719334" y="16939"/>
                  <a:pt x="688373" y="19995"/>
                </a:cubicBezTo>
                <a:cubicBezTo>
                  <a:pt x="663477" y="22487"/>
                  <a:pt x="643330" y="22753"/>
                  <a:pt x="619782" y="22288"/>
                </a:cubicBezTo>
                <a:cubicBezTo>
                  <a:pt x="575345" y="21391"/>
                  <a:pt x="536333" y="26042"/>
                  <a:pt x="493211" y="27005"/>
                </a:cubicBezTo>
                <a:cubicBezTo>
                  <a:pt x="444126" y="28101"/>
                  <a:pt x="402149" y="18999"/>
                  <a:pt x="348852" y="21590"/>
                </a:cubicBezTo>
                <a:cubicBezTo>
                  <a:pt x="329548" y="22520"/>
                  <a:pt x="309099" y="26075"/>
                  <a:pt x="288650" y="28699"/>
                </a:cubicBezTo>
                <a:cubicBezTo>
                  <a:pt x="287605" y="41722"/>
                  <a:pt x="274534" y="55808"/>
                  <a:pt x="257925" y="53715"/>
                </a:cubicBezTo>
                <a:cubicBezTo>
                  <a:pt x="283293" y="72983"/>
                  <a:pt x="234780" y="98564"/>
                  <a:pt x="217632" y="96803"/>
                </a:cubicBezTo>
                <a:cubicBezTo>
                  <a:pt x="206077" y="95607"/>
                  <a:pt x="191692" y="89727"/>
                  <a:pt x="183674" y="80525"/>
                </a:cubicBezTo>
                <a:cubicBezTo>
                  <a:pt x="176094" y="71821"/>
                  <a:pt x="178587" y="60094"/>
                  <a:pt x="173163" y="51589"/>
                </a:cubicBezTo>
                <a:cubicBezTo>
                  <a:pt x="157969" y="73449"/>
                  <a:pt x="124751" y="66439"/>
                  <a:pt x="109995" y="45842"/>
                </a:cubicBezTo>
                <a:cubicBezTo>
                  <a:pt x="105784" y="39961"/>
                  <a:pt x="101236" y="29596"/>
                  <a:pt x="99147" y="20195"/>
                </a:cubicBezTo>
                <a:cubicBezTo>
                  <a:pt x="63605" y="13118"/>
                  <a:pt x="19910" y="3650"/>
                  <a:pt x="3099" y="38633"/>
                </a:cubicBezTo>
                <a:cubicBezTo>
                  <a:pt x="-14891" y="76106"/>
                  <a:pt x="50432" y="153745"/>
                  <a:pt x="70916" y="181850"/>
                </a:cubicBezTo>
                <a:cubicBezTo>
                  <a:pt x="149412" y="289520"/>
                  <a:pt x="261327" y="359983"/>
                  <a:pt x="396961" y="370381"/>
                </a:cubicBezTo>
                <a:cubicBezTo>
                  <a:pt x="517804" y="379617"/>
                  <a:pt x="627665" y="332841"/>
                  <a:pt x="702994" y="239489"/>
                </a:cubicBezTo>
                <a:close/>
              </a:path>
            </a:pathLst>
          </a:custGeom>
          <a:solidFill>
            <a:srgbClr val="526100"/>
          </a:solidFill>
          <a:ln w="3349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76" name="Freeform 475">
            <a:extLst>
              <a:ext uri="{FF2B5EF4-FFF2-40B4-BE49-F238E27FC236}">
                <a16:creationId xmlns:a16="http://schemas.microsoft.com/office/drawing/2014/main" id="{76F33F61-BE57-CBF5-8098-E35718DC8C3D}"/>
              </a:ext>
            </a:extLst>
          </xdr:cNvPr>
          <xdr:cNvSpPr/>
        </xdr:nvSpPr>
        <xdr:spPr>
          <a:xfrm>
            <a:off x="1504765" y="1852149"/>
            <a:ext cx="1415437" cy="641315"/>
          </a:xfrm>
          <a:custGeom>
            <a:avLst/>
            <a:gdLst>
              <a:gd name="connsiteX0" fmla="*/ 730317 w 730316"/>
              <a:gd name="connsiteY0" fmla="*/ 2107 h 330896"/>
              <a:gd name="connsiteX1" fmla="*/ 644476 w 730316"/>
              <a:gd name="connsiteY1" fmla="*/ 19880 h 330896"/>
              <a:gd name="connsiteX2" fmla="*/ 567833 w 730316"/>
              <a:gd name="connsiteY2" fmla="*/ 14498 h 330896"/>
              <a:gd name="connsiteX3" fmla="*/ 451639 w 730316"/>
              <a:gd name="connsiteY3" fmla="*/ 17090 h 330896"/>
              <a:gd name="connsiteX4" fmla="*/ 304956 w 730316"/>
              <a:gd name="connsiteY4" fmla="*/ 21508 h 330896"/>
              <a:gd name="connsiteX5" fmla="*/ 243001 w 730316"/>
              <a:gd name="connsiteY5" fmla="*/ 19083 h 330896"/>
              <a:gd name="connsiteX6" fmla="*/ 214028 w 730316"/>
              <a:gd name="connsiteY6" fmla="*/ 53633 h 330896"/>
              <a:gd name="connsiteX7" fmla="*/ 173736 w 730316"/>
              <a:gd name="connsiteY7" fmla="*/ 96721 h 330896"/>
              <a:gd name="connsiteX8" fmla="*/ 139777 w 730316"/>
              <a:gd name="connsiteY8" fmla="*/ 80443 h 330896"/>
              <a:gd name="connsiteX9" fmla="*/ 129266 w 730316"/>
              <a:gd name="connsiteY9" fmla="*/ 51507 h 330896"/>
              <a:gd name="connsiteX10" fmla="*/ 66098 w 730316"/>
              <a:gd name="connsiteY10" fmla="*/ 45760 h 330896"/>
              <a:gd name="connsiteX11" fmla="*/ 55250 w 730316"/>
              <a:gd name="connsiteY11" fmla="*/ 20113 h 330896"/>
              <a:gd name="connsiteX12" fmla="*/ 0 w 730316"/>
              <a:gd name="connsiteY12" fmla="*/ 13601 h 330896"/>
              <a:gd name="connsiteX13" fmla="*/ 330964 w 730316"/>
              <a:gd name="connsiteY13" fmla="*/ 328075 h 330896"/>
              <a:gd name="connsiteX14" fmla="*/ 730317 w 730316"/>
              <a:gd name="connsiteY14" fmla="*/ 2107 h 33089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730316" h="330896">
                <a:moveTo>
                  <a:pt x="730317" y="2107"/>
                </a:moveTo>
                <a:cubicBezTo>
                  <a:pt x="706195" y="-7195"/>
                  <a:pt x="672102" y="17156"/>
                  <a:pt x="644476" y="19880"/>
                </a:cubicBezTo>
                <a:cubicBezTo>
                  <a:pt x="619580" y="22372"/>
                  <a:pt x="591382" y="14964"/>
                  <a:pt x="567833" y="14498"/>
                </a:cubicBezTo>
                <a:cubicBezTo>
                  <a:pt x="523397" y="13601"/>
                  <a:pt x="494795" y="16126"/>
                  <a:pt x="451639" y="17090"/>
                </a:cubicBezTo>
                <a:cubicBezTo>
                  <a:pt x="402553" y="18186"/>
                  <a:pt x="358252" y="18917"/>
                  <a:pt x="304956" y="21508"/>
                </a:cubicBezTo>
                <a:cubicBezTo>
                  <a:pt x="286426" y="22405"/>
                  <a:pt x="265472" y="20844"/>
                  <a:pt x="243001" y="19083"/>
                </a:cubicBezTo>
                <a:cubicBezTo>
                  <a:pt x="251929" y="36690"/>
                  <a:pt x="230165" y="55693"/>
                  <a:pt x="214028" y="53633"/>
                </a:cubicBezTo>
                <a:cubicBezTo>
                  <a:pt x="239396" y="72902"/>
                  <a:pt x="190884" y="98482"/>
                  <a:pt x="173736" y="96721"/>
                </a:cubicBezTo>
                <a:cubicBezTo>
                  <a:pt x="162180" y="95525"/>
                  <a:pt x="147795" y="89645"/>
                  <a:pt x="139777" y="80443"/>
                </a:cubicBezTo>
                <a:cubicBezTo>
                  <a:pt x="132197" y="71739"/>
                  <a:pt x="134690" y="60012"/>
                  <a:pt x="129266" y="51507"/>
                </a:cubicBezTo>
                <a:cubicBezTo>
                  <a:pt x="114072" y="73367"/>
                  <a:pt x="80854" y="66357"/>
                  <a:pt x="66098" y="45760"/>
                </a:cubicBezTo>
                <a:cubicBezTo>
                  <a:pt x="61887" y="39880"/>
                  <a:pt x="57339" y="29515"/>
                  <a:pt x="55250" y="20113"/>
                </a:cubicBezTo>
                <a:cubicBezTo>
                  <a:pt x="37395" y="16591"/>
                  <a:pt x="17518" y="12439"/>
                  <a:pt x="0" y="13601"/>
                </a:cubicBezTo>
                <a:cubicBezTo>
                  <a:pt x="36452" y="138016"/>
                  <a:pt x="123673" y="303857"/>
                  <a:pt x="330964" y="328075"/>
                </a:cubicBezTo>
                <a:cubicBezTo>
                  <a:pt x="620793" y="361894"/>
                  <a:pt x="710676" y="82038"/>
                  <a:pt x="730317" y="2107"/>
                </a:cubicBezTo>
                <a:close/>
              </a:path>
            </a:pathLst>
          </a:custGeom>
          <a:solidFill>
            <a:srgbClr val="D0D786"/>
          </a:solidFill>
          <a:ln w="3349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77" name="Freeform 476">
            <a:extLst>
              <a:ext uri="{FF2B5EF4-FFF2-40B4-BE49-F238E27FC236}">
                <a16:creationId xmlns:a16="http://schemas.microsoft.com/office/drawing/2014/main" id="{A2CF4768-0682-F095-8379-2EEE95C06027}"/>
              </a:ext>
            </a:extLst>
          </xdr:cNvPr>
          <xdr:cNvSpPr/>
        </xdr:nvSpPr>
        <xdr:spPr>
          <a:xfrm>
            <a:off x="1592781" y="1854944"/>
            <a:ext cx="1279953" cy="571527"/>
          </a:xfrm>
          <a:custGeom>
            <a:avLst/>
            <a:gdLst>
              <a:gd name="connsiteX0" fmla="*/ 660411 w 660411"/>
              <a:gd name="connsiteY0" fmla="*/ 0 h 294888"/>
              <a:gd name="connsiteX1" fmla="*/ 599097 w 660411"/>
              <a:gd name="connsiteY1" fmla="*/ 18438 h 294888"/>
              <a:gd name="connsiteX2" fmla="*/ 522454 w 660411"/>
              <a:gd name="connsiteY2" fmla="*/ 13056 h 294888"/>
              <a:gd name="connsiteX3" fmla="*/ 403194 w 660411"/>
              <a:gd name="connsiteY3" fmla="*/ 15714 h 294888"/>
              <a:gd name="connsiteX4" fmla="*/ 259576 w 660411"/>
              <a:gd name="connsiteY4" fmla="*/ 20032 h 294888"/>
              <a:gd name="connsiteX5" fmla="*/ 197621 w 660411"/>
              <a:gd name="connsiteY5" fmla="*/ 17607 h 294888"/>
              <a:gd name="connsiteX6" fmla="*/ 168649 w 660411"/>
              <a:gd name="connsiteY6" fmla="*/ 52158 h 294888"/>
              <a:gd name="connsiteX7" fmla="*/ 128356 w 660411"/>
              <a:gd name="connsiteY7" fmla="*/ 95246 h 294888"/>
              <a:gd name="connsiteX8" fmla="*/ 94397 w 660411"/>
              <a:gd name="connsiteY8" fmla="*/ 78967 h 294888"/>
              <a:gd name="connsiteX9" fmla="*/ 83886 w 660411"/>
              <a:gd name="connsiteY9" fmla="*/ 50031 h 294888"/>
              <a:gd name="connsiteX10" fmla="*/ 20719 w 660411"/>
              <a:gd name="connsiteY10" fmla="*/ 44284 h 294888"/>
              <a:gd name="connsiteX11" fmla="*/ 9905 w 660411"/>
              <a:gd name="connsiteY11" fmla="*/ 18670 h 294888"/>
              <a:gd name="connsiteX12" fmla="*/ 0 w 660411"/>
              <a:gd name="connsiteY12" fmla="*/ 16710 h 294888"/>
              <a:gd name="connsiteX13" fmla="*/ 283563 w 660411"/>
              <a:gd name="connsiteY13" fmla="*/ 292182 h 294888"/>
              <a:gd name="connsiteX14" fmla="*/ 660411 w 660411"/>
              <a:gd name="connsiteY14" fmla="*/ 0 h 29488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660411" h="294888">
                <a:moveTo>
                  <a:pt x="660411" y="0"/>
                </a:moveTo>
                <a:cubicBezTo>
                  <a:pt x="640501" y="4252"/>
                  <a:pt x="618266" y="16577"/>
                  <a:pt x="599097" y="18438"/>
                </a:cubicBezTo>
                <a:cubicBezTo>
                  <a:pt x="574200" y="20929"/>
                  <a:pt x="546002" y="13521"/>
                  <a:pt x="522454" y="13056"/>
                </a:cubicBezTo>
                <a:cubicBezTo>
                  <a:pt x="478017" y="12159"/>
                  <a:pt x="446350" y="14750"/>
                  <a:pt x="403194" y="15714"/>
                </a:cubicBezTo>
                <a:cubicBezTo>
                  <a:pt x="354108" y="16810"/>
                  <a:pt x="312906" y="17474"/>
                  <a:pt x="259576" y="20032"/>
                </a:cubicBezTo>
                <a:cubicBezTo>
                  <a:pt x="238790" y="21029"/>
                  <a:pt x="218711" y="19401"/>
                  <a:pt x="197621" y="17607"/>
                </a:cubicBezTo>
                <a:cubicBezTo>
                  <a:pt x="204865" y="31793"/>
                  <a:pt x="189536" y="54815"/>
                  <a:pt x="168649" y="52158"/>
                </a:cubicBezTo>
                <a:cubicBezTo>
                  <a:pt x="194017" y="71426"/>
                  <a:pt x="145504" y="97006"/>
                  <a:pt x="128356" y="95246"/>
                </a:cubicBezTo>
                <a:cubicBezTo>
                  <a:pt x="116801" y="94050"/>
                  <a:pt x="102415" y="88170"/>
                  <a:pt x="94397" y="78967"/>
                </a:cubicBezTo>
                <a:cubicBezTo>
                  <a:pt x="86817" y="70263"/>
                  <a:pt x="89310" y="58536"/>
                  <a:pt x="83886" y="50031"/>
                </a:cubicBezTo>
                <a:cubicBezTo>
                  <a:pt x="68692" y="71891"/>
                  <a:pt x="35475" y="64881"/>
                  <a:pt x="20719" y="44284"/>
                </a:cubicBezTo>
                <a:cubicBezTo>
                  <a:pt x="16508" y="38404"/>
                  <a:pt x="11960" y="28072"/>
                  <a:pt x="9905" y="18670"/>
                </a:cubicBezTo>
                <a:cubicBezTo>
                  <a:pt x="6670" y="18039"/>
                  <a:pt x="3369" y="17375"/>
                  <a:pt x="0" y="16710"/>
                </a:cubicBezTo>
                <a:cubicBezTo>
                  <a:pt x="37564" y="131258"/>
                  <a:pt x="106290" y="271452"/>
                  <a:pt x="283563" y="292182"/>
                </a:cubicBezTo>
                <a:cubicBezTo>
                  <a:pt x="540578" y="322214"/>
                  <a:pt x="633224" y="94448"/>
                  <a:pt x="660411" y="0"/>
                </a:cubicBezTo>
                <a:close/>
              </a:path>
            </a:pathLst>
          </a:custGeom>
          <a:solidFill>
            <a:srgbClr val="D84D17"/>
          </a:solidFill>
          <a:ln w="3349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grpSp>
        <xdr:nvGrpSpPr>
          <xdr:cNvPr id="478" name="Graphic 21">
            <a:extLst>
              <a:ext uri="{FF2B5EF4-FFF2-40B4-BE49-F238E27FC236}">
                <a16:creationId xmlns:a16="http://schemas.microsoft.com/office/drawing/2014/main" id="{EB846540-E0EC-2AF1-9F2F-8BF6BECD1694}"/>
              </a:ext>
            </a:extLst>
          </xdr:cNvPr>
          <xdr:cNvGrpSpPr/>
        </xdr:nvGrpSpPr>
        <xdr:grpSpPr>
          <a:xfrm>
            <a:off x="2598174" y="1987517"/>
            <a:ext cx="65603" cy="81513"/>
            <a:chOff x="3835340" y="2800241"/>
            <a:chExt cx="33849" cy="42058"/>
          </a:xfrm>
        </xdr:grpSpPr>
        <xdr:sp macro="" textlink="">
          <xdr:nvSpPr>
            <xdr:cNvPr id="503" name="Freeform 502">
              <a:extLst>
                <a:ext uri="{FF2B5EF4-FFF2-40B4-BE49-F238E27FC236}">
                  <a16:creationId xmlns:a16="http://schemas.microsoft.com/office/drawing/2014/main" id="{174A50B2-FAC4-891A-9AB0-DA5B7FA4117A}"/>
                </a:ext>
              </a:extLst>
            </xdr:cNvPr>
            <xdr:cNvSpPr/>
          </xdr:nvSpPr>
          <xdr:spPr>
            <a:xfrm>
              <a:off x="3837226" y="2800241"/>
              <a:ext cx="31963" cy="42058"/>
            </a:xfrm>
            <a:custGeom>
              <a:avLst/>
              <a:gdLst>
                <a:gd name="connsiteX0" fmla="*/ 674 w 31963"/>
                <a:gd name="connsiteY0" fmla="*/ 2193 h 42058"/>
                <a:gd name="connsiteX1" fmla="*/ 29512 w 31963"/>
                <a:gd name="connsiteY1" fmla="*/ 23122 h 42058"/>
                <a:gd name="connsiteX2" fmla="*/ 21325 w 31963"/>
                <a:gd name="connsiteY2" fmla="*/ 42058 h 42058"/>
                <a:gd name="connsiteX3" fmla="*/ 0 w 31963"/>
                <a:gd name="connsiteY3" fmla="*/ 0 h 42058"/>
                <a:gd name="connsiteX4" fmla="*/ 674 w 31963"/>
                <a:gd name="connsiteY4" fmla="*/ 2193 h 420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31963" h="42058">
                  <a:moveTo>
                    <a:pt x="674" y="2193"/>
                  </a:moveTo>
                  <a:cubicBezTo>
                    <a:pt x="8456" y="8438"/>
                    <a:pt x="22976" y="13255"/>
                    <a:pt x="29512" y="23122"/>
                  </a:cubicBezTo>
                  <a:cubicBezTo>
                    <a:pt x="34734" y="31029"/>
                    <a:pt x="31432" y="41959"/>
                    <a:pt x="21325" y="42058"/>
                  </a:cubicBezTo>
                  <a:cubicBezTo>
                    <a:pt x="-3133" y="42224"/>
                    <a:pt x="4380" y="13920"/>
                    <a:pt x="0" y="0"/>
                  </a:cubicBezTo>
                  <a:lnTo>
                    <a:pt x="674" y="2193"/>
                  </a:lnTo>
                  <a:close/>
                </a:path>
              </a:pathLst>
            </a:custGeom>
            <a:solidFill>
              <a:srgbClr val="C74D17"/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504" name="Freeform 503">
              <a:extLst>
                <a:ext uri="{FF2B5EF4-FFF2-40B4-BE49-F238E27FC236}">
                  <a16:creationId xmlns:a16="http://schemas.microsoft.com/office/drawing/2014/main" id="{DEAC749C-5D2E-2413-DCC1-EAA4F6304778}"/>
                </a:ext>
              </a:extLst>
            </xdr:cNvPr>
            <xdr:cNvSpPr/>
          </xdr:nvSpPr>
          <xdr:spPr>
            <a:xfrm>
              <a:off x="3835340" y="2801503"/>
              <a:ext cx="29337" cy="36776"/>
            </a:xfrm>
            <a:custGeom>
              <a:avLst/>
              <a:gdLst>
                <a:gd name="connsiteX0" fmla="*/ 2459 w 29337"/>
                <a:gd name="connsiteY0" fmla="*/ 864 h 36776"/>
                <a:gd name="connsiteX1" fmla="*/ 23212 w 29337"/>
                <a:gd name="connsiteY1" fmla="*/ 36776 h 36776"/>
                <a:gd name="connsiteX2" fmla="*/ 0 w 29337"/>
                <a:gd name="connsiteY2" fmla="*/ 0 h 36776"/>
                <a:gd name="connsiteX3" fmla="*/ 2459 w 29337"/>
                <a:gd name="connsiteY3" fmla="*/ 864 h 3677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29337" h="36776">
                  <a:moveTo>
                    <a:pt x="2459" y="864"/>
                  </a:moveTo>
                  <a:cubicBezTo>
                    <a:pt x="11117" y="4385"/>
                    <a:pt x="42415" y="36643"/>
                    <a:pt x="23212" y="36776"/>
                  </a:cubicBezTo>
                  <a:cubicBezTo>
                    <a:pt x="6098" y="36876"/>
                    <a:pt x="4043" y="10897"/>
                    <a:pt x="0" y="0"/>
                  </a:cubicBezTo>
                  <a:lnTo>
                    <a:pt x="2459" y="864"/>
                  </a:lnTo>
                  <a:close/>
                </a:path>
              </a:pathLst>
            </a:custGeom>
            <a:solidFill>
              <a:srgbClr val="25231B"/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505" name="Freeform 504">
              <a:extLst>
                <a:ext uri="{FF2B5EF4-FFF2-40B4-BE49-F238E27FC236}">
                  <a16:creationId xmlns:a16="http://schemas.microsoft.com/office/drawing/2014/main" id="{3DE7715F-ABE6-3770-94B4-6A5BADC38797}"/>
                </a:ext>
              </a:extLst>
            </xdr:cNvPr>
            <xdr:cNvSpPr/>
          </xdr:nvSpPr>
          <xdr:spPr>
            <a:xfrm>
              <a:off x="3855006" y="2823527"/>
              <a:ext cx="7978" cy="11545"/>
            </a:xfrm>
            <a:custGeom>
              <a:avLst/>
              <a:gdLst>
                <a:gd name="connsiteX0" fmla="*/ 1895 w 7978"/>
                <a:gd name="connsiteY0" fmla="*/ 234 h 11545"/>
                <a:gd name="connsiteX1" fmla="*/ 2366 w 7978"/>
                <a:gd name="connsiteY1" fmla="*/ 135 h 11545"/>
                <a:gd name="connsiteX2" fmla="*/ 6207 w 7978"/>
                <a:gd name="connsiteY2" fmla="*/ 1464 h 11545"/>
                <a:gd name="connsiteX3" fmla="*/ 5668 w 7978"/>
                <a:gd name="connsiteY3" fmla="*/ 10666 h 11545"/>
                <a:gd name="connsiteX4" fmla="*/ 581 w 7978"/>
                <a:gd name="connsiteY4" fmla="*/ 7178 h 11545"/>
                <a:gd name="connsiteX5" fmla="*/ 1187 w 7978"/>
                <a:gd name="connsiteY5" fmla="*/ 6148 h 11545"/>
                <a:gd name="connsiteX6" fmla="*/ 8 w 7978"/>
                <a:gd name="connsiteY6" fmla="*/ 2859 h 11545"/>
                <a:gd name="connsiteX7" fmla="*/ 1895 w 7978"/>
                <a:gd name="connsiteY7" fmla="*/ 234 h 1154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7978" h="11545">
                  <a:moveTo>
                    <a:pt x="1895" y="234"/>
                  </a:moveTo>
                  <a:cubicBezTo>
                    <a:pt x="2030" y="201"/>
                    <a:pt x="2198" y="168"/>
                    <a:pt x="2366" y="135"/>
                  </a:cubicBezTo>
                  <a:cubicBezTo>
                    <a:pt x="3984" y="-264"/>
                    <a:pt x="5163" y="234"/>
                    <a:pt x="6207" y="1464"/>
                  </a:cubicBezTo>
                  <a:cubicBezTo>
                    <a:pt x="8700" y="4487"/>
                    <a:pt x="8599" y="8174"/>
                    <a:pt x="5668" y="10666"/>
                  </a:cubicBezTo>
                  <a:cubicBezTo>
                    <a:pt x="3040" y="12925"/>
                    <a:pt x="-834" y="10500"/>
                    <a:pt x="581" y="7178"/>
                  </a:cubicBezTo>
                  <a:cubicBezTo>
                    <a:pt x="749" y="6812"/>
                    <a:pt x="952" y="6480"/>
                    <a:pt x="1187" y="6148"/>
                  </a:cubicBezTo>
                  <a:cubicBezTo>
                    <a:pt x="884" y="5052"/>
                    <a:pt x="109" y="4121"/>
                    <a:pt x="8" y="2859"/>
                  </a:cubicBezTo>
                  <a:cubicBezTo>
                    <a:pt x="-93" y="1796"/>
                    <a:pt x="749" y="500"/>
                    <a:pt x="1895" y="234"/>
                  </a:cubicBezTo>
                  <a:close/>
                </a:path>
              </a:pathLst>
            </a:custGeom>
            <a:solidFill>
              <a:srgbClr val="FFFFFF">
                <a:alpha val="30000"/>
              </a:srgbClr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grpSp>
        <xdr:nvGrpSpPr>
          <xdr:cNvPr id="479" name="Graphic 21">
            <a:extLst>
              <a:ext uri="{FF2B5EF4-FFF2-40B4-BE49-F238E27FC236}">
                <a16:creationId xmlns:a16="http://schemas.microsoft.com/office/drawing/2014/main" id="{54456BD9-EBB6-B57B-7E44-0855B33F09AE}"/>
              </a:ext>
            </a:extLst>
          </xdr:cNvPr>
          <xdr:cNvGrpSpPr/>
        </xdr:nvGrpSpPr>
        <xdr:grpSpPr>
          <a:xfrm>
            <a:off x="2526790" y="2144426"/>
            <a:ext cx="53089" cy="89177"/>
            <a:chOff x="3798508" y="2881201"/>
            <a:chExt cx="27392" cy="46012"/>
          </a:xfrm>
        </xdr:grpSpPr>
        <xdr:sp macro="" textlink="">
          <xdr:nvSpPr>
            <xdr:cNvPr id="500" name="Freeform 499">
              <a:extLst>
                <a:ext uri="{FF2B5EF4-FFF2-40B4-BE49-F238E27FC236}">
                  <a16:creationId xmlns:a16="http://schemas.microsoft.com/office/drawing/2014/main" id="{2F474E3E-343E-501A-8AEE-1CEE1AC7E9E8}"/>
                </a:ext>
              </a:extLst>
            </xdr:cNvPr>
            <xdr:cNvSpPr/>
          </xdr:nvSpPr>
          <xdr:spPr>
            <a:xfrm>
              <a:off x="3798508" y="2881201"/>
              <a:ext cx="27392" cy="46012"/>
            </a:xfrm>
            <a:custGeom>
              <a:avLst/>
              <a:gdLst>
                <a:gd name="connsiteX0" fmla="*/ 3176 w 27392"/>
                <a:gd name="connsiteY0" fmla="*/ 2292 h 46012"/>
                <a:gd name="connsiteX1" fmla="*/ 26455 w 27392"/>
                <a:gd name="connsiteY1" fmla="*/ 29102 h 46012"/>
                <a:gd name="connsiteX2" fmla="*/ 14159 w 27392"/>
                <a:gd name="connsiteY2" fmla="*/ 45713 h 46012"/>
                <a:gd name="connsiteX3" fmla="*/ 2974 w 27392"/>
                <a:gd name="connsiteY3" fmla="*/ 0 h 46012"/>
                <a:gd name="connsiteX4" fmla="*/ 3176 w 27392"/>
                <a:gd name="connsiteY4" fmla="*/ 2292 h 4601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27392" h="46012">
                  <a:moveTo>
                    <a:pt x="3176" y="2292"/>
                  </a:moveTo>
                  <a:cubicBezTo>
                    <a:pt x="9341" y="10099"/>
                    <a:pt x="22379" y="18039"/>
                    <a:pt x="26455" y="29102"/>
                  </a:cubicBezTo>
                  <a:cubicBezTo>
                    <a:pt x="29757" y="37972"/>
                    <a:pt x="24030" y="47872"/>
                    <a:pt x="14159" y="45713"/>
                  </a:cubicBezTo>
                  <a:cubicBezTo>
                    <a:pt x="-9693" y="40430"/>
                    <a:pt x="4052" y="14551"/>
                    <a:pt x="2974" y="0"/>
                  </a:cubicBezTo>
                  <a:lnTo>
                    <a:pt x="3176" y="2292"/>
                  </a:lnTo>
                  <a:close/>
                </a:path>
              </a:pathLst>
            </a:custGeom>
            <a:solidFill>
              <a:srgbClr val="C74D17"/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501" name="Freeform 500">
              <a:extLst>
                <a:ext uri="{FF2B5EF4-FFF2-40B4-BE49-F238E27FC236}">
                  <a16:creationId xmlns:a16="http://schemas.microsoft.com/office/drawing/2014/main" id="{458BA0E6-9BFF-2034-6690-B88D5BBEF12C}"/>
                </a:ext>
              </a:extLst>
            </xdr:cNvPr>
            <xdr:cNvSpPr/>
          </xdr:nvSpPr>
          <xdr:spPr>
            <a:xfrm>
              <a:off x="3799427" y="2882032"/>
              <a:ext cx="21363" cy="41308"/>
            </a:xfrm>
            <a:custGeom>
              <a:avLst/>
              <a:gdLst>
                <a:gd name="connsiteX0" fmla="*/ 2190 w 21363"/>
                <a:gd name="connsiteY0" fmla="*/ 1395 h 41308"/>
                <a:gd name="connsiteX1" fmla="*/ 14217 w 21363"/>
                <a:gd name="connsiteY1" fmla="*/ 40995 h 41308"/>
                <a:gd name="connsiteX2" fmla="*/ 0 w 21363"/>
                <a:gd name="connsiteY2" fmla="*/ 0 h 41308"/>
                <a:gd name="connsiteX3" fmla="*/ 2190 w 21363"/>
                <a:gd name="connsiteY3" fmla="*/ 1395 h 4130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21363" h="41308">
                  <a:moveTo>
                    <a:pt x="2190" y="1395"/>
                  </a:moveTo>
                  <a:cubicBezTo>
                    <a:pt x="9804" y="6744"/>
                    <a:pt x="32948" y="45148"/>
                    <a:pt x="14217" y="40995"/>
                  </a:cubicBezTo>
                  <a:cubicBezTo>
                    <a:pt x="-2459" y="37308"/>
                    <a:pt x="1449" y="11528"/>
                    <a:pt x="0" y="0"/>
                  </a:cubicBezTo>
                  <a:lnTo>
                    <a:pt x="2190" y="1395"/>
                  </a:lnTo>
                  <a:close/>
                </a:path>
              </a:pathLst>
            </a:custGeom>
            <a:solidFill>
              <a:srgbClr val="25231B"/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502" name="Freeform 501">
              <a:extLst>
                <a:ext uri="{FF2B5EF4-FFF2-40B4-BE49-F238E27FC236}">
                  <a16:creationId xmlns:a16="http://schemas.microsoft.com/office/drawing/2014/main" id="{8F8F425A-C0A2-DF88-FA70-233A3272E807}"/>
                </a:ext>
              </a:extLst>
            </xdr:cNvPr>
            <xdr:cNvSpPr/>
          </xdr:nvSpPr>
          <xdr:spPr>
            <a:xfrm>
              <a:off x="3811743" y="2908509"/>
              <a:ext cx="8354" cy="11446"/>
            </a:xfrm>
            <a:custGeom>
              <a:avLst/>
              <a:gdLst>
                <a:gd name="connsiteX0" fmla="*/ 3586 w 8354"/>
                <a:gd name="connsiteY0" fmla="*/ 33 h 11446"/>
                <a:gd name="connsiteX1" fmla="*/ 4057 w 8354"/>
                <a:gd name="connsiteY1" fmla="*/ 0 h 11446"/>
                <a:gd name="connsiteX2" fmla="*/ 7494 w 8354"/>
                <a:gd name="connsiteY2" fmla="*/ 2159 h 11446"/>
                <a:gd name="connsiteX3" fmla="*/ 4866 w 8354"/>
                <a:gd name="connsiteY3" fmla="*/ 10996 h 11446"/>
                <a:gd name="connsiteX4" fmla="*/ 722 w 8354"/>
                <a:gd name="connsiteY4" fmla="*/ 6478 h 11446"/>
                <a:gd name="connsiteX5" fmla="*/ 1530 w 8354"/>
                <a:gd name="connsiteY5" fmla="*/ 5614 h 11446"/>
                <a:gd name="connsiteX6" fmla="*/ 1093 w 8354"/>
                <a:gd name="connsiteY6" fmla="*/ 2159 h 11446"/>
                <a:gd name="connsiteX7" fmla="*/ 3586 w 8354"/>
                <a:gd name="connsiteY7" fmla="*/ 33 h 1144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8354" h="11446">
                  <a:moveTo>
                    <a:pt x="3586" y="33"/>
                  </a:moveTo>
                  <a:cubicBezTo>
                    <a:pt x="3720" y="0"/>
                    <a:pt x="3922" y="0"/>
                    <a:pt x="4057" y="0"/>
                  </a:cubicBezTo>
                  <a:cubicBezTo>
                    <a:pt x="5708" y="0"/>
                    <a:pt x="6752" y="764"/>
                    <a:pt x="7494" y="2159"/>
                  </a:cubicBezTo>
                  <a:cubicBezTo>
                    <a:pt x="9245" y="5648"/>
                    <a:pt x="8302" y="9202"/>
                    <a:pt x="4866" y="10996"/>
                  </a:cubicBezTo>
                  <a:cubicBezTo>
                    <a:pt x="1733" y="12657"/>
                    <a:pt x="-1468" y="9402"/>
                    <a:pt x="722" y="6478"/>
                  </a:cubicBezTo>
                  <a:cubicBezTo>
                    <a:pt x="991" y="6146"/>
                    <a:pt x="1227" y="5880"/>
                    <a:pt x="1530" y="5614"/>
                  </a:cubicBezTo>
                  <a:cubicBezTo>
                    <a:pt x="1463" y="4452"/>
                    <a:pt x="924" y="3422"/>
                    <a:pt x="1093" y="2159"/>
                  </a:cubicBezTo>
                  <a:cubicBezTo>
                    <a:pt x="1328" y="1063"/>
                    <a:pt x="2406" y="0"/>
                    <a:pt x="3586" y="33"/>
                  </a:cubicBezTo>
                  <a:close/>
                </a:path>
              </a:pathLst>
            </a:custGeom>
            <a:solidFill>
              <a:srgbClr val="FFFFFF">
                <a:alpha val="30000"/>
              </a:srgbClr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grpSp>
        <xdr:nvGrpSpPr>
          <xdr:cNvPr id="480" name="Graphic 21">
            <a:extLst>
              <a:ext uri="{FF2B5EF4-FFF2-40B4-BE49-F238E27FC236}">
                <a16:creationId xmlns:a16="http://schemas.microsoft.com/office/drawing/2014/main" id="{E4601EC4-6149-5F51-335C-675063564730}"/>
              </a:ext>
            </a:extLst>
          </xdr:cNvPr>
          <xdr:cNvGrpSpPr/>
        </xdr:nvGrpSpPr>
        <xdr:grpSpPr>
          <a:xfrm>
            <a:off x="2368448" y="2136507"/>
            <a:ext cx="51500" cy="92686"/>
            <a:chOff x="3716809" y="2877115"/>
            <a:chExt cx="26572" cy="47823"/>
          </a:xfrm>
        </xdr:grpSpPr>
        <xdr:sp macro="" textlink="">
          <xdr:nvSpPr>
            <xdr:cNvPr id="497" name="Freeform 496">
              <a:extLst>
                <a:ext uri="{FF2B5EF4-FFF2-40B4-BE49-F238E27FC236}">
                  <a16:creationId xmlns:a16="http://schemas.microsoft.com/office/drawing/2014/main" id="{232D3456-9B15-181C-7EF8-314F1F83A53B}"/>
                </a:ext>
              </a:extLst>
            </xdr:cNvPr>
            <xdr:cNvSpPr/>
          </xdr:nvSpPr>
          <xdr:spPr>
            <a:xfrm>
              <a:off x="3716809" y="2877115"/>
              <a:ext cx="26572" cy="47823"/>
            </a:xfrm>
            <a:custGeom>
              <a:avLst/>
              <a:gdLst>
                <a:gd name="connsiteX0" fmla="*/ 7996 w 26572"/>
                <a:gd name="connsiteY0" fmla="*/ 2292 h 47823"/>
                <a:gd name="connsiteX1" fmla="*/ 26323 w 26572"/>
                <a:gd name="connsiteY1" fmla="*/ 32623 h 47823"/>
                <a:gd name="connsiteX2" fmla="*/ 11298 w 26572"/>
                <a:gd name="connsiteY2" fmla="*/ 46909 h 47823"/>
                <a:gd name="connsiteX3" fmla="*/ 8198 w 26572"/>
                <a:gd name="connsiteY3" fmla="*/ 0 h 47823"/>
                <a:gd name="connsiteX4" fmla="*/ 7996 w 26572"/>
                <a:gd name="connsiteY4" fmla="*/ 2292 h 4782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26572" h="47823">
                  <a:moveTo>
                    <a:pt x="7996" y="2292"/>
                  </a:moveTo>
                  <a:cubicBezTo>
                    <a:pt x="12713" y="11029"/>
                    <a:pt x="24167" y="20996"/>
                    <a:pt x="26323" y="32623"/>
                  </a:cubicBezTo>
                  <a:cubicBezTo>
                    <a:pt x="28041" y="41925"/>
                    <a:pt x="20663" y="50729"/>
                    <a:pt x="11298" y="46909"/>
                  </a:cubicBezTo>
                  <a:cubicBezTo>
                    <a:pt x="-11308" y="37673"/>
                    <a:pt x="6750" y="14485"/>
                    <a:pt x="8198" y="0"/>
                  </a:cubicBezTo>
                  <a:lnTo>
                    <a:pt x="7996" y="2292"/>
                  </a:lnTo>
                  <a:close/>
                </a:path>
              </a:pathLst>
            </a:custGeom>
            <a:solidFill>
              <a:srgbClr val="C74D17"/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498" name="Freeform 497">
              <a:extLst>
                <a:ext uri="{FF2B5EF4-FFF2-40B4-BE49-F238E27FC236}">
                  <a16:creationId xmlns:a16="http://schemas.microsoft.com/office/drawing/2014/main" id="{340A81CF-1397-D490-5B1A-50054AF6314F}"/>
                </a:ext>
              </a:extLst>
            </xdr:cNvPr>
            <xdr:cNvSpPr/>
          </xdr:nvSpPr>
          <xdr:spPr>
            <a:xfrm>
              <a:off x="3720133" y="2877580"/>
              <a:ext cx="17666" cy="43596"/>
            </a:xfrm>
            <a:custGeom>
              <a:avLst/>
              <a:gdLst>
                <a:gd name="connsiteX0" fmla="*/ 4605 w 17666"/>
                <a:gd name="connsiteY0" fmla="*/ 1728 h 43596"/>
                <a:gd name="connsiteX1" fmla="*/ 9625 w 17666"/>
                <a:gd name="connsiteY1" fmla="*/ 42756 h 43596"/>
                <a:gd name="connsiteX2" fmla="*/ 2651 w 17666"/>
                <a:gd name="connsiteY2" fmla="*/ 0 h 43596"/>
                <a:gd name="connsiteX3" fmla="*/ 4605 w 17666"/>
                <a:gd name="connsiteY3" fmla="*/ 1728 h 4359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7666" h="43596">
                  <a:moveTo>
                    <a:pt x="4605" y="1728"/>
                  </a:moveTo>
                  <a:cubicBezTo>
                    <a:pt x="11208" y="8272"/>
                    <a:pt x="27345" y="49998"/>
                    <a:pt x="9625" y="42756"/>
                  </a:cubicBezTo>
                  <a:cubicBezTo>
                    <a:pt x="-6209" y="36311"/>
                    <a:pt x="2146" y="11561"/>
                    <a:pt x="2651" y="0"/>
                  </a:cubicBezTo>
                  <a:lnTo>
                    <a:pt x="4605" y="1728"/>
                  </a:lnTo>
                  <a:close/>
                </a:path>
              </a:pathLst>
            </a:custGeom>
            <a:solidFill>
              <a:srgbClr val="25231B"/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499" name="Freeform 498">
              <a:extLst>
                <a:ext uri="{FF2B5EF4-FFF2-40B4-BE49-F238E27FC236}">
                  <a16:creationId xmlns:a16="http://schemas.microsoft.com/office/drawing/2014/main" id="{511BE5FF-867B-7162-FD15-152DA69A966A}"/>
                </a:ext>
              </a:extLst>
            </xdr:cNvPr>
            <xdr:cNvSpPr/>
          </xdr:nvSpPr>
          <xdr:spPr>
            <a:xfrm>
              <a:off x="3728876" y="2906321"/>
              <a:ext cx="8849" cy="11255"/>
            </a:xfrm>
            <a:custGeom>
              <a:avLst/>
              <a:gdLst>
                <a:gd name="connsiteX0" fmla="*/ 5026 w 8849"/>
                <a:gd name="connsiteY0" fmla="*/ 29 h 11255"/>
                <a:gd name="connsiteX1" fmla="*/ 5497 w 8849"/>
                <a:gd name="connsiteY1" fmla="*/ 95 h 11255"/>
                <a:gd name="connsiteX2" fmla="*/ 8496 w 8849"/>
                <a:gd name="connsiteY2" fmla="*/ 2786 h 11255"/>
                <a:gd name="connsiteX3" fmla="*/ 4386 w 8849"/>
                <a:gd name="connsiteY3" fmla="*/ 11058 h 11255"/>
                <a:gd name="connsiteX4" fmla="*/ 1084 w 8849"/>
                <a:gd name="connsiteY4" fmla="*/ 5909 h 11255"/>
                <a:gd name="connsiteX5" fmla="*/ 2027 w 8849"/>
                <a:gd name="connsiteY5" fmla="*/ 5178 h 11255"/>
                <a:gd name="connsiteX6" fmla="*/ 2196 w 8849"/>
                <a:gd name="connsiteY6" fmla="*/ 1690 h 11255"/>
                <a:gd name="connsiteX7" fmla="*/ 5026 w 8849"/>
                <a:gd name="connsiteY7" fmla="*/ 29 h 1125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8849" h="11255">
                  <a:moveTo>
                    <a:pt x="5026" y="29"/>
                  </a:moveTo>
                  <a:cubicBezTo>
                    <a:pt x="5194" y="29"/>
                    <a:pt x="5329" y="62"/>
                    <a:pt x="5497" y="95"/>
                  </a:cubicBezTo>
                  <a:cubicBezTo>
                    <a:pt x="7114" y="361"/>
                    <a:pt x="8058" y="1291"/>
                    <a:pt x="8496" y="2786"/>
                  </a:cubicBezTo>
                  <a:cubicBezTo>
                    <a:pt x="9607" y="6540"/>
                    <a:pt x="8058" y="9862"/>
                    <a:pt x="4386" y="11058"/>
                  </a:cubicBezTo>
                  <a:cubicBezTo>
                    <a:pt x="1017" y="12155"/>
                    <a:pt x="-1544" y="8434"/>
                    <a:pt x="1084" y="5909"/>
                  </a:cubicBezTo>
                  <a:cubicBezTo>
                    <a:pt x="1354" y="5610"/>
                    <a:pt x="1690" y="5411"/>
                    <a:pt x="2027" y="5178"/>
                  </a:cubicBezTo>
                  <a:cubicBezTo>
                    <a:pt x="2128" y="4082"/>
                    <a:pt x="1792" y="2919"/>
                    <a:pt x="2196" y="1690"/>
                  </a:cubicBezTo>
                  <a:cubicBezTo>
                    <a:pt x="2600" y="693"/>
                    <a:pt x="3880" y="-170"/>
                    <a:pt x="5026" y="29"/>
                  </a:cubicBezTo>
                  <a:close/>
                </a:path>
              </a:pathLst>
            </a:custGeom>
            <a:solidFill>
              <a:srgbClr val="FFFFFF">
                <a:alpha val="30000"/>
              </a:srgbClr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grpSp>
        <xdr:nvGrpSpPr>
          <xdr:cNvPr id="481" name="Graphic 21">
            <a:extLst>
              <a:ext uri="{FF2B5EF4-FFF2-40B4-BE49-F238E27FC236}">
                <a16:creationId xmlns:a16="http://schemas.microsoft.com/office/drawing/2014/main" id="{B0861514-6CAC-7EF9-93AA-0CDEA52B81B9}"/>
              </a:ext>
            </a:extLst>
          </xdr:cNvPr>
          <xdr:cNvGrpSpPr/>
        </xdr:nvGrpSpPr>
        <xdr:grpSpPr>
          <a:xfrm>
            <a:off x="2209150" y="2218922"/>
            <a:ext cx="50412" cy="94032"/>
            <a:chOff x="3634617" y="2919638"/>
            <a:chExt cx="26011" cy="48517"/>
          </a:xfrm>
        </xdr:grpSpPr>
        <xdr:sp macro="" textlink="">
          <xdr:nvSpPr>
            <xdr:cNvPr id="494" name="Freeform 493">
              <a:extLst>
                <a:ext uri="{FF2B5EF4-FFF2-40B4-BE49-F238E27FC236}">
                  <a16:creationId xmlns:a16="http://schemas.microsoft.com/office/drawing/2014/main" id="{E3F65731-84F8-E2A4-ED4C-FF96EA582E49}"/>
                </a:ext>
              </a:extLst>
            </xdr:cNvPr>
            <xdr:cNvSpPr/>
          </xdr:nvSpPr>
          <xdr:spPr>
            <a:xfrm>
              <a:off x="3634617" y="2919638"/>
              <a:ext cx="26011" cy="48517"/>
            </a:xfrm>
            <a:custGeom>
              <a:avLst/>
              <a:gdLst>
                <a:gd name="connsiteX0" fmla="*/ 13848 w 26011"/>
                <a:gd name="connsiteY0" fmla="*/ 2193 h 48517"/>
                <a:gd name="connsiteX1" fmla="*/ 26010 w 26011"/>
                <a:gd name="connsiteY1" fmla="*/ 35414 h 48517"/>
                <a:gd name="connsiteX2" fmla="*/ 8492 w 26011"/>
                <a:gd name="connsiteY2" fmla="*/ 46610 h 48517"/>
                <a:gd name="connsiteX3" fmla="*/ 14489 w 26011"/>
                <a:gd name="connsiteY3" fmla="*/ 0 h 48517"/>
                <a:gd name="connsiteX4" fmla="*/ 13848 w 26011"/>
                <a:gd name="connsiteY4" fmla="*/ 2193 h 4851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26011" h="48517">
                  <a:moveTo>
                    <a:pt x="13848" y="2193"/>
                  </a:moveTo>
                  <a:cubicBezTo>
                    <a:pt x="16813" y="11661"/>
                    <a:pt x="26145" y="23620"/>
                    <a:pt x="26010" y="35414"/>
                  </a:cubicBezTo>
                  <a:cubicBezTo>
                    <a:pt x="25909" y="44849"/>
                    <a:pt x="16948" y="52124"/>
                    <a:pt x="8492" y="46610"/>
                  </a:cubicBezTo>
                  <a:cubicBezTo>
                    <a:pt x="-11890" y="33321"/>
                    <a:pt x="10277" y="13953"/>
                    <a:pt x="14489" y="0"/>
                  </a:cubicBezTo>
                  <a:lnTo>
                    <a:pt x="13848" y="2193"/>
                  </a:lnTo>
                  <a:close/>
                </a:path>
              </a:pathLst>
            </a:custGeom>
            <a:solidFill>
              <a:srgbClr val="C74D17"/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495" name="Freeform 494">
              <a:extLst>
                <a:ext uri="{FF2B5EF4-FFF2-40B4-BE49-F238E27FC236}">
                  <a16:creationId xmlns:a16="http://schemas.microsoft.com/office/drawing/2014/main" id="{26BF113D-B778-97F9-AFC2-E77B79124474}"/>
                </a:ext>
              </a:extLst>
            </xdr:cNvPr>
            <xdr:cNvSpPr/>
          </xdr:nvSpPr>
          <xdr:spPr>
            <a:xfrm>
              <a:off x="3638842" y="2919672"/>
              <a:ext cx="16159" cy="44878"/>
            </a:xfrm>
            <a:custGeom>
              <a:avLst/>
              <a:gdLst>
                <a:gd name="connsiteX0" fmla="*/ 9589 w 16159"/>
                <a:gd name="connsiteY0" fmla="*/ 2060 h 44878"/>
                <a:gd name="connsiteX1" fmla="*/ 6591 w 16159"/>
                <a:gd name="connsiteY1" fmla="*/ 43287 h 44878"/>
                <a:gd name="connsiteX2" fmla="*/ 8039 w 16159"/>
                <a:gd name="connsiteY2" fmla="*/ 0 h 44878"/>
                <a:gd name="connsiteX3" fmla="*/ 9589 w 16159"/>
                <a:gd name="connsiteY3" fmla="*/ 2060 h 4487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6159" h="44878">
                  <a:moveTo>
                    <a:pt x="9589" y="2060"/>
                  </a:moveTo>
                  <a:cubicBezTo>
                    <a:pt x="14811" y="9734"/>
                    <a:pt x="22627" y="53719"/>
                    <a:pt x="6591" y="43287"/>
                  </a:cubicBezTo>
                  <a:cubicBezTo>
                    <a:pt x="-7693" y="34019"/>
                    <a:pt x="5277" y="11262"/>
                    <a:pt x="8039" y="0"/>
                  </a:cubicBezTo>
                  <a:lnTo>
                    <a:pt x="9589" y="2060"/>
                  </a:lnTo>
                  <a:close/>
                </a:path>
              </a:pathLst>
            </a:custGeom>
            <a:solidFill>
              <a:srgbClr val="25231B"/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496" name="Freeform 495">
              <a:extLst>
                <a:ext uri="{FF2B5EF4-FFF2-40B4-BE49-F238E27FC236}">
                  <a16:creationId xmlns:a16="http://schemas.microsoft.com/office/drawing/2014/main" id="{C68FB11A-1DCE-4707-04D2-C9E3F4436864}"/>
                </a:ext>
              </a:extLst>
            </xdr:cNvPr>
            <xdr:cNvSpPr/>
          </xdr:nvSpPr>
          <xdr:spPr>
            <a:xfrm>
              <a:off x="3645657" y="2949864"/>
              <a:ext cx="9485" cy="10900"/>
            </a:xfrm>
            <a:custGeom>
              <a:avLst/>
              <a:gdLst>
                <a:gd name="connsiteX0" fmla="*/ 6547 w 9485"/>
                <a:gd name="connsiteY0" fmla="*/ 139 h 10900"/>
                <a:gd name="connsiteX1" fmla="*/ 6985 w 9485"/>
                <a:gd name="connsiteY1" fmla="*/ 305 h 10900"/>
                <a:gd name="connsiteX2" fmla="*/ 9445 w 9485"/>
                <a:gd name="connsiteY2" fmla="*/ 3527 h 10900"/>
                <a:gd name="connsiteX3" fmla="*/ 3818 w 9485"/>
                <a:gd name="connsiteY3" fmla="*/ 10869 h 10900"/>
                <a:gd name="connsiteX4" fmla="*/ 1561 w 9485"/>
                <a:gd name="connsiteY4" fmla="*/ 5188 h 10900"/>
                <a:gd name="connsiteX5" fmla="*/ 2639 w 9485"/>
                <a:gd name="connsiteY5" fmla="*/ 4657 h 10900"/>
                <a:gd name="connsiteX6" fmla="*/ 3482 w 9485"/>
                <a:gd name="connsiteY6" fmla="*/ 1268 h 10900"/>
                <a:gd name="connsiteX7" fmla="*/ 6547 w 9485"/>
                <a:gd name="connsiteY7" fmla="*/ 139 h 109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9485" h="10900">
                  <a:moveTo>
                    <a:pt x="6547" y="139"/>
                  </a:moveTo>
                  <a:cubicBezTo>
                    <a:pt x="6682" y="172"/>
                    <a:pt x="6851" y="238"/>
                    <a:pt x="6985" y="305"/>
                  </a:cubicBezTo>
                  <a:cubicBezTo>
                    <a:pt x="8535" y="870"/>
                    <a:pt x="9276" y="1966"/>
                    <a:pt x="9445" y="3527"/>
                  </a:cubicBezTo>
                  <a:cubicBezTo>
                    <a:pt x="9815" y="7381"/>
                    <a:pt x="7625" y="10404"/>
                    <a:pt x="3818" y="10869"/>
                  </a:cubicBezTo>
                  <a:cubicBezTo>
                    <a:pt x="315" y="11301"/>
                    <a:pt x="-1504" y="7182"/>
                    <a:pt x="1561" y="5188"/>
                  </a:cubicBezTo>
                  <a:cubicBezTo>
                    <a:pt x="1898" y="4956"/>
                    <a:pt x="2269" y="4823"/>
                    <a:pt x="2639" y="4657"/>
                  </a:cubicBezTo>
                  <a:cubicBezTo>
                    <a:pt x="2976" y="3594"/>
                    <a:pt x="2841" y="2398"/>
                    <a:pt x="3482" y="1268"/>
                  </a:cubicBezTo>
                  <a:cubicBezTo>
                    <a:pt x="4021" y="338"/>
                    <a:pt x="5436" y="-293"/>
                    <a:pt x="6547" y="139"/>
                  </a:cubicBezTo>
                  <a:close/>
                </a:path>
              </a:pathLst>
            </a:custGeom>
            <a:solidFill>
              <a:srgbClr val="FFFFFF">
                <a:alpha val="30000"/>
              </a:srgbClr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grpSp>
        <xdr:nvGrpSpPr>
          <xdr:cNvPr id="482" name="Graphic 21">
            <a:extLst>
              <a:ext uri="{FF2B5EF4-FFF2-40B4-BE49-F238E27FC236}">
                <a16:creationId xmlns:a16="http://schemas.microsoft.com/office/drawing/2014/main" id="{02F12652-181B-903B-CAC3-AF6009DC9583}"/>
              </a:ext>
            </a:extLst>
          </xdr:cNvPr>
          <xdr:cNvGrpSpPr/>
        </xdr:nvGrpSpPr>
        <xdr:grpSpPr>
          <a:xfrm>
            <a:off x="2106603" y="2077722"/>
            <a:ext cx="50081" cy="93847"/>
            <a:chOff x="3581706" y="2846784"/>
            <a:chExt cx="25840" cy="48422"/>
          </a:xfrm>
        </xdr:grpSpPr>
        <xdr:sp macro="" textlink="">
          <xdr:nvSpPr>
            <xdr:cNvPr id="491" name="Freeform 490">
              <a:extLst>
                <a:ext uri="{FF2B5EF4-FFF2-40B4-BE49-F238E27FC236}">
                  <a16:creationId xmlns:a16="http://schemas.microsoft.com/office/drawing/2014/main" id="{BD2ED235-9325-C9F5-CE0D-087275A0D4DC}"/>
                </a:ext>
              </a:extLst>
            </xdr:cNvPr>
            <xdr:cNvSpPr/>
          </xdr:nvSpPr>
          <xdr:spPr>
            <a:xfrm>
              <a:off x="3581706" y="2847016"/>
              <a:ext cx="25840" cy="48190"/>
            </a:xfrm>
            <a:custGeom>
              <a:avLst/>
              <a:gdLst>
                <a:gd name="connsiteX0" fmla="*/ 17944 w 25840"/>
                <a:gd name="connsiteY0" fmla="*/ 2093 h 48190"/>
                <a:gd name="connsiteX1" fmla="*/ 25591 w 25840"/>
                <a:gd name="connsiteY1" fmla="*/ 36577 h 48190"/>
                <a:gd name="connsiteX2" fmla="*/ 6759 w 25840"/>
                <a:gd name="connsiteY2" fmla="*/ 45447 h 48190"/>
                <a:gd name="connsiteX3" fmla="*/ 18887 w 25840"/>
                <a:gd name="connsiteY3" fmla="*/ 0 h 48190"/>
                <a:gd name="connsiteX4" fmla="*/ 17944 w 25840"/>
                <a:gd name="connsiteY4" fmla="*/ 2093 h 4819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25840" h="48190">
                  <a:moveTo>
                    <a:pt x="17944" y="2093"/>
                  </a:moveTo>
                  <a:cubicBezTo>
                    <a:pt x="19628" y="11860"/>
                    <a:pt x="27309" y="24949"/>
                    <a:pt x="25591" y="36577"/>
                  </a:cubicBezTo>
                  <a:cubicBezTo>
                    <a:pt x="24244" y="45945"/>
                    <a:pt x="14406" y="51991"/>
                    <a:pt x="6759" y="45447"/>
                  </a:cubicBezTo>
                  <a:cubicBezTo>
                    <a:pt x="-11703" y="29667"/>
                    <a:pt x="12857" y="13289"/>
                    <a:pt x="18887" y="0"/>
                  </a:cubicBezTo>
                  <a:lnTo>
                    <a:pt x="17944" y="2093"/>
                  </a:lnTo>
                  <a:close/>
                </a:path>
              </a:pathLst>
            </a:custGeom>
            <a:solidFill>
              <a:srgbClr val="C74D17"/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492" name="Freeform 491">
              <a:extLst>
                <a:ext uri="{FF2B5EF4-FFF2-40B4-BE49-F238E27FC236}">
                  <a16:creationId xmlns:a16="http://schemas.microsoft.com/office/drawing/2014/main" id="{C55DE5AA-E5C1-5C90-FC19-ACAE80BF679F}"/>
                </a:ext>
              </a:extLst>
            </xdr:cNvPr>
            <xdr:cNvSpPr/>
          </xdr:nvSpPr>
          <xdr:spPr>
            <a:xfrm>
              <a:off x="3586241" y="2846784"/>
              <a:ext cx="16406" cy="44882"/>
            </a:xfrm>
            <a:custGeom>
              <a:avLst/>
              <a:gdLst>
                <a:gd name="connsiteX0" fmla="*/ 13408 w 16406"/>
                <a:gd name="connsiteY0" fmla="*/ 2226 h 44882"/>
                <a:gd name="connsiteX1" fmla="*/ 4986 w 16406"/>
                <a:gd name="connsiteY1" fmla="*/ 42723 h 44882"/>
                <a:gd name="connsiteX2" fmla="*/ 12128 w 16406"/>
                <a:gd name="connsiteY2" fmla="*/ 0 h 44882"/>
                <a:gd name="connsiteX3" fmla="*/ 13408 w 16406"/>
                <a:gd name="connsiteY3" fmla="*/ 2226 h 448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6406" h="44882">
                  <a:moveTo>
                    <a:pt x="13408" y="2226"/>
                  </a:moveTo>
                  <a:cubicBezTo>
                    <a:pt x="17552" y="10498"/>
                    <a:pt x="19472" y="55114"/>
                    <a:pt x="4986" y="42723"/>
                  </a:cubicBezTo>
                  <a:cubicBezTo>
                    <a:pt x="-7951" y="31660"/>
                    <a:pt x="7883" y="10797"/>
                    <a:pt x="12128" y="0"/>
                  </a:cubicBezTo>
                  <a:lnTo>
                    <a:pt x="13408" y="2226"/>
                  </a:lnTo>
                  <a:close/>
                </a:path>
              </a:pathLst>
            </a:custGeom>
            <a:solidFill>
              <a:srgbClr val="25231B"/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493" name="Freeform 492">
              <a:extLst>
                <a:ext uri="{FF2B5EF4-FFF2-40B4-BE49-F238E27FC236}">
                  <a16:creationId xmlns:a16="http://schemas.microsoft.com/office/drawing/2014/main" id="{BF30AF98-5988-BB0C-8ED3-4F404D10E625}"/>
                </a:ext>
              </a:extLst>
            </xdr:cNvPr>
            <xdr:cNvSpPr/>
          </xdr:nvSpPr>
          <xdr:spPr>
            <a:xfrm>
              <a:off x="3592085" y="2877281"/>
              <a:ext cx="9991" cy="10531"/>
            </a:xfrm>
            <a:custGeom>
              <a:avLst/>
              <a:gdLst>
                <a:gd name="connsiteX0" fmla="*/ 7564 w 9991"/>
                <a:gd name="connsiteY0" fmla="*/ 233 h 10531"/>
                <a:gd name="connsiteX1" fmla="*/ 8002 w 9991"/>
                <a:gd name="connsiteY1" fmla="*/ 465 h 10531"/>
                <a:gd name="connsiteX2" fmla="*/ 9990 w 9991"/>
                <a:gd name="connsiteY2" fmla="*/ 3987 h 10531"/>
                <a:gd name="connsiteX3" fmla="*/ 3420 w 9991"/>
                <a:gd name="connsiteY3" fmla="*/ 10531 h 10531"/>
                <a:gd name="connsiteX4" fmla="*/ 1938 w 9991"/>
                <a:gd name="connsiteY4" fmla="*/ 4618 h 10531"/>
                <a:gd name="connsiteX5" fmla="*/ 3083 w 9991"/>
                <a:gd name="connsiteY5" fmla="*/ 4252 h 10531"/>
                <a:gd name="connsiteX6" fmla="*/ 4364 w 9991"/>
                <a:gd name="connsiteY6" fmla="*/ 997 h 10531"/>
                <a:gd name="connsiteX7" fmla="*/ 7564 w 9991"/>
                <a:gd name="connsiteY7" fmla="*/ 233 h 105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9991" h="10531">
                  <a:moveTo>
                    <a:pt x="7564" y="233"/>
                  </a:moveTo>
                  <a:cubicBezTo>
                    <a:pt x="7732" y="299"/>
                    <a:pt x="7867" y="399"/>
                    <a:pt x="8002" y="465"/>
                  </a:cubicBezTo>
                  <a:cubicBezTo>
                    <a:pt x="9451" y="1229"/>
                    <a:pt x="10023" y="2425"/>
                    <a:pt x="9990" y="3987"/>
                  </a:cubicBezTo>
                  <a:cubicBezTo>
                    <a:pt x="9821" y="7874"/>
                    <a:pt x="7328" y="10564"/>
                    <a:pt x="3420" y="10531"/>
                  </a:cubicBezTo>
                  <a:cubicBezTo>
                    <a:pt x="-117" y="10531"/>
                    <a:pt x="-1397" y="6179"/>
                    <a:pt x="1938" y="4618"/>
                  </a:cubicBezTo>
                  <a:cubicBezTo>
                    <a:pt x="2308" y="4419"/>
                    <a:pt x="2713" y="4319"/>
                    <a:pt x="3083" y="4252"/>
                  </a:cubicBezTo>
                  <a:cubicBezTo>
                    <a:pt x="3555" y="3223"/>
                    <a:pt x="3589" y="2027"/>
                    <a:pt x="4364" y="997"/>
                  </a:cubicBezTo>
                  <a:cubicBezTo>
                    <a:pt x="5037" y="133"/>
                    <a:pt x="6553" y="-299"/>
                    <a:pt x="7564" y="233"/>
                  </a:cubicBezTo>
                  <a:close/>
                </a:path>
              </a:pathLst>
            </a:custGeom>
            <a:solidFill>
              <a:srgbClr val="FFFFFF">
                <a:alpha val="30000"/>
              </a:srgbClr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grpSp>
        <xdr:nvGrpSpPr>
          <xdr:cNvPr id="483" name="Graphic 21">
            <a:extLst>
              <a:ext uri="{FF2B5EF4-FFF2-40B4-BE49-F238E27FC236}">
                <a16:creationId xmlns:a16="http://schemas.microsoft.com/office/drawing/2014/main" id="{18EFEA5B-E2CB-6BA5-A3FC-DE44B8AE5812}"/>
              </a:ext>
            </a:extLst>
          </xdr:cNvPr>
          <xdr:cNvGrpSpPr/>
        </xdr:nvGrpSpPr>
        <xdr:grpSpPr>
          <a:xfrm>
            <a:off x="1926090" y="2182931"/>
            <a:ext cx="53294" cy="89783"/>
            <a:chOff x="3488568" y="2901068"/>
            <a:chExt cx="27498" cy="46325"/>
          </a:xfrm>
        </xdr:grpSpPr>
        <xdr:sp macro="" textlink="">
          <xdr:nvSpPr>
            <xdr:cNvPr id="488" name="Freeform 487">
              <a:extLst>
                <a:ext uri="{FF2B5EF4-FFF2-40B4-BE49-F238E27FC236}">
                  <a16:creationId xmlns:a16="http://schemas.microsoft.com/office/drawing/2014/main" id="{12D8611C-3F08-2D20-7DE2-9D81F1C45AED}"/>
                </a:ext>
              </a:extLst>
            </xdr:cNvPr>
            <xdr:cNvSpPr/>
          </xdr:nvSpPr>
          <xdr:spPr>
            <a:xfrm>
              <a:off x="3488568" y="2901865"/>
              <a:ext cx="27498" cy="45528"/>
            </a:xfrm>
            <a:custGeom>
              <a:avLst/>
              <a:gdLst>
                <a:gd name="connsiteX0" fmla="*/ 26016 w 27498"/>
                <a:gd name="connsiteY0" fmla="*/ 1827 h 45528"/>
                <a:gd name="connsiteX1" fmla="*/ 24197 w 27498"/>
                <a:gd name="connsiteY1" fmla="*/ 37075 h 45528"/>
                <a:gd name="connsiteX2" fmla="*/ 3646 w 27498"/>
                <a:gd name="connsiteY2" fmla="*/ 40729 h 45528"/>
                <a:gd name="connsiteX3" fmla="*/ 27498 w 27498"/>
                <a:gd name="connsiteY3" fmla="*/ 0 h 45528"/>
                <a:gd name="connsiteX4" fmla="*/ 26016 w 27498"/>
                <a:gd name="connsiteY4" fmla="*/ 1827 h 4552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27498" h="45528">
                  <a:moveTo>
                    <a:pt x="26016" y="1827"/>
                  </a:moveTo>
                  <a:cubicBezTo>
                    <a:pt x="25039" y="11661"/>
                    <a:pt x="28980" y="26278"/>
                    <a:pt x="24197" y="37075"/>
                  </a:cubicBezTo>
                  <a:cubicBezTo>
                    <a:pt x="20390" y="45746"/>
                    <a:pt x="9272" y="49035"/>
                    <a:pt x="3646" y="40729"/>
                  </a:cubicBezTo>
                  <a:cubicBezTo>
                    <a:pt x="-9931" y="20730"/>
                    <a:pt x="18099" y="11295"/>
                    <a:pt x="27498" y="0"/>
                  </a:cubicBezTo>
                  <a:lnTo>
                    <a:pt x="26016" y="1827"/>
                  </a:lnTo>
                  <a:close/>
                </a:path>
              </a:pathLst>
            </a:custGeom>
            <a:solidFill>
              <a:srgbClr val="C74D17"/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489" name="Freeform 488">
              <a:extLst>
                <a:ext uri="{FF2B5EF4-FFF2-40B4-BE49-F238E27FC236}">
                  <a16:creationId xmlns:a16="http://schemas.microsoft.com/office/drawing/2014/main" id="{9FD2715C-6DDA-DC06-6CA7-6D24FD0E7927}"/>
                </a:ext>
              </a:extLst>
            </xdr:cNvPr>
            <xdr:cNvSpPr/>
          </xdr:nvSpPr>
          <xdr:spPr>
            <a:xfrm>
              <a:off x="3493200" y="2901068"/>
              <a:ext cx="21598" cy="42787"/>
            </a:xfrm>
            <a:custGeom>
              <a:avLst/>
              <a:gdLst>
                <a:gd name="connsiteX0" fmla="*/ 21384 w 21598"/>
                <a:gd name="connsiteY0" fmla="*/ 2492 h 42787"/>
                <a:gd name="connsiteX1" fmla="*/ 2450 w 21598"/>
                <a:gd name="connsiteY1" fmla="*/ 39401 h 42787"/>
                <a:gd name="connsiteX2" fmla="*/ 20743 w 21598"/>
                <a:gd name="connsiteY2" fmla="*/ 0 h 42787"/>
                <a:gd name="connsiteX3" fmla="*/ 21384 w 21598"/>
                <a:gd name="connsiteY3" fmla="*/ 2492 h 4278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21598" h="42787">
                  <a:moveTo>
                    <a:pt x="21384" y="2492"/>
                  </a:moveTo>
                  <a:cubicBezTo>
                    <a:pt x="23203" y="11561"/>
                    <a:pt x="13163" y="55114"/>
                    <a:pt x="2450" y="39401"/>
                  </a:cubicBezTo>
                  <a:cubicBezTo>
                    <a:pt x="-7084" y="25414"/>
                    <a:pt x="13804" y="9368"/>
                    <a:pt x="20743" y="0"/>
                  </a:cubicBezTo>
                  <a:lnTo>
                    <a:pt x="21384" y="2492"/>
                  </a:lnTo>
                  <a:close/>
                </a:path>
              </a:pathLst>
            </a:custGeom>
            <a:solidFill>
              <a:srgbClr val="25231B"/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490" name="Freeform 489">
              <a:extLst>
                <a:ext uri="{FF2B5EF4-FFF2-40B4-BE49-F238E27FC236}">
                  <a16:creationId xmlns:a16="http://schemas.microsoft.com/office/drawing/2014/main" id="{984F0FF8-BA33-4CFC-BDFD-C6E21A2A1CDD}"/>
                </a:ext>
              </a:extLst>
            </xdr:cNvPr>
            <xdr:cNvSpPr/>
          </xdr:nvSpPr>
          <xdr:spPr>
            <a:xfrm>
              <a:off x="3497706" y="2930468"/>
              <a:ext cx="10850" cy="9729"/>
            </a:xfrm>
            <a:custGeom>
              <a:avLst/>
              <a:gdLst>
                <a:gd name="connsiteX0" fmla="*/ 9298 w 10850"/>
                <a:gd name="connsiteY0" fmla="*/ 598 h 9729"/>
                <a:gd name="connsiteX1" fmla="*/ 9669 w 10850"/>
                <a:gd name="connsiteY1" fmla="*/ 930 h 9729"/>
                <a:gd name="connsiteX2" fmla="*/ 10646 w 10850"/>
                <a:gd name="connsiteY2" fmla="*/ 4817 h 9729"/>
                <a:gd name="connsiteX3" fmla="*/ 2560 w 10850"/>
                <a:gd name="connsiteY3" fmla="*/ 9468 h 9729"/>
                <a:gd name="connsiteX4" fmla="*/ 2695 w 10850"/>
                <a:gd name="connsiteY4" fmla="*/ 3356 h 9729"/>
                <a:gd name="connsiteX5" fmla="*/ 3874 w 10850"/>
                <a:gd name="connsiteY5" fmla="*/ 3289 h 9729"/>
                <a:gd name="connsiteX6" fmla="*/ 5997 w 10850"/>
                <a:gd name="connsiteY6" fmla="*/ 499 h 9729"/>
                <a:gd name="connsiteX7" fmla="*/ 9298 w 10850"/>
                <a:gd name="connsiteY7" fmla="*/ 598 h 9729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10850" h="9729">
                  <a:moveTo>
                    <a:pt x="9298" y="598"/>
                  </a:moveTo>
                  <a:cubicBezTo>
                    <a:pt x="9433" y="731"/>
                    <a:pt x="9534" y="831"/>
                    <a:pt x="9669" y="930"/>
                  </a:cubicBezTo>
                  <a:cubicBezTo>
                    <a:pt x="10848" y="2027"/>
                    <a:pt x="11084" y="3322"/>
                    <a:pt x="10646" y="4817"/>
                  </a:cubicBezTo>
                  <a:cubicBezTo>
                    <a:pt x="9467" y="8538"/>
                    <a:pt x="6300" y="10465"/>
                    <a:pt x="2560" y="9468"/>
                  </a:cubicBezTo>
                  <a:cubicBezTo>
                    <a:pt x="-842" y="8505"/>
                    <a:pt x="-910" y="4020"/>
                    <a:pt x="2695" y="3356"/>
                  </a:cubicBezTo>
                  <a:cubicBezTo>
                    <a:pt x="3099" y="3256"/>
                    <a:pt x="3504" y="3289"/>
                    <a:pt x="3874" y="3289"/>
                  </a:cubicBezTo>
                  <a:cubicBezTo>
                    <a:pt x="4615" y="2425"/>
                    <a:pt x="4952" y="1296"/>
                    <a:pt x="5997" y="499"/>
                  </a:cubicBezTo>
                  <a:cubicBezTo>
                    <a:pt x="6906" y="-166"/>
                    <a:pt x="8422" y="-199"/>
                    <a:pt x="9298" y="598"/>
                  </a:cubicBezTo>
                  <a:close/>
                </a:path>
              </a:pathLst>
            </a:custGeom>
            <a:solidFill>
              <a:srgbClr val="FFFFFF">
                <a:alpha val="30000"/>
              </a:srgbClr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grpSp>
        <xdr:nvGrpSpPr>
          <xdr:cNvPr id="484" name="Graphic 21">
            <a:extLst>
              <a:ext uri="{FF2B5EF4-FFF2-40B4-BE49-F238E27FC236}">
                <a16:creationId xmlns:a16="http://schemas.microsoft.com/office/drawing/2014/main" id="{A2FFE827-BFA8-A33D-3E0D-E4448A73645D}"/>
              </a:ext>
            </a:extLst>
          </xdr:cNvPr>
          <xdr:cNvGrpSpPr/>
        </xdr:nvGrpSpPr>
        <xdr:grpSpPr>
          <a:xfrm>
            <a:off x="1888150" y="2072253"/>
            <a:ext cx="72495" cy="76740"/>
            <a:chOff x="3468992" y="2843960"/>
            <a:chExt cx="37405" cy="39595"/>
          </a:xfrm>
        </xdr:grpSpPr>
        <xdr:sp macro="" textlink="">
          <xdr:nvSpPr>
            <xdr:cNvPr id="485" name="Freeform 484">
              <a:extLst>
                <a:ext uri="{FF2B5EF4-FFF2-40B4-BE49-F238E27FC236}">
                  <a16:creationId xmlns:a16="http://schemas.microsoft.com/office/drawing/2014/main" id="{FC2C7F36-2133-0A84-DDBE-DB62EABFFC00}"/>
                </a:ext>
              </a:extLst>
            </xdr:cNvPr>
            <xdr:cNvSpPr/>
          </xdr:nvSpPr>
          <xdr:spPr>
            <a:xfrm>
              <a:off x="3468992" y="2845422"/>
              <a:ext cx="37405" cy="38133"/>
            </a:xfrm>
            <a:custGeom>
              <a:avLst/>
              <a:gdLst>
                <a:gd name="connsiteX0" fmla="*/ 35384 w 37405"/>
                <a:gd name="connsiteY0" fmla="*/ 1196 h 38133"/>
                <a:gd name="connsiteX1" fmla="*/ 21268 w 37405"/>
                <a:gd name="connsiteY1" fmla="*/ 33620 h 38133"/>
                <a:gd name="connsiteX2" fmla="*/ 718 w 37405"/>
                <a:gd name="connsiteY2" fmla="*/ 30032 h 38133"/>
                <a:gd name="connsiteX3" fmla="*/ 37406 w 37405"/>
                <a:gd name="connsiteY3" fmla="*/ 0 h 38133"/>
                <a:gd name="connsiteX4" fmla="*/ 35384 w 37405"/>
                <a:gd name="connsiteY4" fmla="*/ 1196 h 3813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37405" h="38133">
                  <a:moveTo>
                    <a:pt x="35384" y="1196"/>
                  </a:moveTo>
                  <a:cubicBezTo>
                    <a:pt x="31005" y="10099"/>
                    <a:pt x="29522" y="25115"/>
                    <a:pt x="21268" y="33620"/>
                  </a:cubicBezTo>
                  <a:cubicBezTo>
                    <a:pt x="14665" y="40430"/>
                    <a:pt x="3076" y="39766"/>
                    <a:pt x="718" y="30032"/>
                  </a:cubicBezTo>
                  <a:cubicBezTo>
                    <a:pt x="-4975" y="6611"/>
                    <a:pt x="24671" y="7375"/>
                    <a:pt x="37406" y="0"/>
                  </a:cubicBezTo>
                  <a:lnTo>
                    <a:pt x="35384" y="1196"/>
                  </a:lnTo>
                  <a:close/>
                </a:path>
              </a:pathLst>
            </a:custGeom>
            <a:solidFill>
              <a:srgbClr val="C74D17"/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486" name="Freeform 485">
              <a:extLst>
                <a:ext uri="{FF2B5EF4-FFF2-40B4-BE49-F238E27FC236}">
                  <a16:creationId xmlns:a16="http://schemas.microsoft.com/office/drawing/2014/main" id="{9792AAA2-2BF7-E5B3-606B-FB6142825FD1}"/>
                </a:ext>
              </a:extLst>
            </xdr:cNvPr>
            <xdr:cNvSpPr/>
          </xdr:nvSpPr>
          <xdr:spPr>
            <a:xfrm>
              <a:off x="3473257" y="2843960"/>
              <a:ext cx="31422" cy="35690"/>
            </a:xfrm>
            <a:custGeom>
              <a:avLst/>
              <a:gdLst>
                <a:gd name="connsiteX0" fmla="*/ 31153 w 31422"/>
                <a:gd name="connsiteY0" fmla="*/ 2558 h 35690"/>
                <a:gd name="connsiteX1" fmla="*/ 428 w 31422"/>
                <a:gd name="connsiteY1" fmla="*/ 30663 h 35690"/>
                <a:gd name="connsiteX2" fmla="*/ 31423 w 31422"/>
                <a:gd name="connsiteY2" fmla="*/ 0 h 35690"/>
                <a:gd name="connsiteX3" fmla="*/ 31153 w 31422"/>
                <a:gd name="connsiteY3" fmla="*/ 2558 h 3569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1422" h="35690">
                  <a:moveTo>
                    <a:pt x="31153" y="2558"/>
                  </a:moveTo>
                  <a:cubicBezTo>
                    <a:pt x="29671" y="11694"/>
                    <a:pt x="4909" y="49068"/>
                    <a:pt x="428" y="30663"/>
                  </a:cubicBezTo>
                  <a:cubicBezTo>
                    <a:pt x="-3581" y="14285"/>
                    <a:pt x="21619" y="6379"/>
                    <a:pt x="31423" y="0"/>
                  </a:cubicBezTo>
                  <a:lnTo>
                    <a:pt x="31153" y="2558"/>
                  </a:lnTo>
                  <a:close/>
                </a:path>
              </a:pathLst>
            </a:custGeom>
            <a:solidFill>
              <a:srgbClr val="25231B"/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487" name="Freeform 486">
              <a:extLst>
                <a:ext uri="{FF2B5EF4-FFF2-40B4-BE49-F238E27FC236}">
                  <a16:creationId xmlns:a16="http://schemas.microsoft.com/office/drawing/2014/main" id="{7E52A1A4-1A4D-014F-839E-A29F1951A606}"/>
                </a:ext>
              </a:extLst>
            </xdr:cNvPr>
            <xdr:cNvSpPr/>
          </xdr:nvSpPr>
          <xdr:spPr>
            <a:xfrm>
              <a:off x="3476612" y="2868409"/>
              <a:ext cx="11609" cy="8627"/>
            </a:xfrm>
            <a:custGeom>
              <a:avLst/>
              <a:gdLst>
                <a:gd name="connsiteX0" fmla="*/ 10987 w 11609"/>
                <a:gd name="connsiteY0" fmla="*/ 1331 h 8627"/>
                <a:gd name="connsiteX1" fmla="*/ 11189 w 11609"/>
                <a:gd name="connsiteY1" fmla="*/ 1763 h 8627"/>
                <a:gd name="connsiteX2" fmla="*/ 10717 w 11609"/>
                <a:gd name="connsiteY2" fmla="*/ 5750 h 8627"/>
                <a:gd name="connsiteX3" fmla="*/ 1520 w 11609"/>
                <a:gd name="connsiteY3" fmla="*/ 7311 h 8627"/>
                <a:gd name="connsiteX4" fmla="*/ 3777 w 11609"/>
                <a:gd name="connsiteY4" fmla="*/ 1663 h 8627"/>
                <a:gd name="connsiteX5" fmla="*/ 4889 w 11609"/>
                <a:gd name="connsiteY5" fmla="*/ 1996 h 8627"/>
                <a:gd name="connsiteX6" fmla="*/ 7887 w 11609"/>
                <a:gd name="connsiteY6" fmla="*/ 102 h 8627"/>
                <a:gd name="connsiteX7" fmla="*/ 10987 w 11609"/>
                <a:gd name="connsiteY7" fmla="*/ 1331 h 862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11609" h="8627">
                  <a:moveTo>
                    <a:pt x="10987" y="1331"/>
                  </a:moveTo>
                  <a:cubicBezTo>
                    <a:pt x="11054" y="1464"/>
                    <a:pt x="11122" y="1597"/>
                    <a:pt x="11189" y="1763"/>
                  </a:cubicBezTo>
                  <a:cubicBezTo>
                    <a:pt x="11896" y="3225"/>
                    <a:pt x="11694" y="4487"/>
                    <a:pt x="10717" y="5750"/>
                  </a:cubicBezTo>
                  <a:cubicBezTo>
                    <a:pt x="8292" y="8839"/>
                    <a:pt x="4653" y="9570"/>
                    <a:pt x="1520" y="7311"/>
                  </a:cubicBezTo>
                  <a:cubicBezTo>
                    <a:pt x="-1377" y="5251"/>
                    <a:pt x="139" y="1032"/>
                    <a:pt x="3777" y="1663"/>
                  </a:cubicBezTo>
                  <a:cubicBezTo>
                    <a:pt x="4182" y="1730"/>
                    <a:pt x="4552" y="1863"/>
                    <a:pt x="4889" y="1996"/>
                  </a:cubicBezTo>
                  <a:cubicBezTo>
                    <a:pt x="5900" y="1431"/>
                    <a:pt x="6641" y="467"/>
                    <a:pt x="7887" y="102"/>
                  </a:cubicBezTo>
                  <a:cubicBezTo>
                    <a:pt x="8999" y="-230"/>
                    <a:pt x="10481" y="268"/>
                    <a:pt x="10987" y="1331"/>
                  </a:cubicBezTo>
                  <a:close/>
                </a:path>
              </a:pathLst>
            </a:custGeom>
            <a:solidFill>
              <a:srgbClr val="FFFFFF">
                <a:alpha val="30000"/>
              </a:srgbClr>
            </a:solidFill>
            <a:ln w="3349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</xdr:grpSp>
    <xdr:clientData/>
  </xdr:twoCellAnchor>
  <xdr:twoCellAnchor editAs="oneCell">
    <xdr:from>
      <xdr:col>11</xdr:col>
      <xdr:colOff>575040</xdr:colOff>
      <xdr:row>7</xdr:row>
      <xdr:rowOff>160896</xdr:rowOff>
    </xdr:from>
    <xdr:to>
      <xdr:col>12</xdr:col>
      <xdr:colOff>427546</xdr:colOff>
      <xdr:row>8</xdr:row>
      <xdr:rowOff>180175</xdr:rowOff>
    </xdr:to>
    <xdr:grpSp>
      <xdr:nvGrpSpPr>
        <xdr:cNvPr id="37" name="Group 36" descr="Cupcake emoji">
          <a:extLst>
            <a:ext uri="{FF2B5EF4-FFF2-40B4-BE49-F238E27FC236}">
              <a16:creationId xmlns:a16="http://schemas.microsoft.com/office/drawing/2014/main" id="{D48DC693-E10E-13A7-9FBF-07DBDB2B51F9}"/>
            </a:ext>
          </a:extLst>
        </xdr:cNvPr>
        <xdr:cNvGrpSpPr/>
      </xdr:nvGrpSpPr>
      <xdr:grpSpPr>
        <a:xfrm>
          <a:off x="22761940" y="3926446"/>
          <a:ext cx="433531" cy="657454"/>
          <a:chOff x="3569570" y="1950391"/>
          <a:chExt cx="470327" cy="663074"/>
        </a:xfrm>
      </xdr:grpSpPr>
      <xdr:sp macro="" textlink="">
        <xdr:nvSpPr>
          <xdr:cNvPr id="38" name="Freeform 37">
            <a:extLst>
              <a:ext uri="{FF2B5EF4-FFF2-40B4-BE49-F238E27FC236}">
                <a16:creationId xmlns:a16="http://schemas.microsoft.com/office/drawing/2014/main" id="{25B043D2-E1C5-D2A6-36F5-F8AFC80F5964}"/>
              </a:ext>
            </a:extLst>
          </xdr:cNvPr>
          <xdr:cNvSpPr/>
        </xdr:nvSpPr>
        <xdr:spPr>
          <a:xfrm>
            <a:off x="3597529" y="2238373"/>
            <a:ext cx="423411" cy="375092"/>
          </a:xfrm>
          <a:custGeom>
            <a:avLst/>
            <a:gdLst>
              <a:gd name="connsiteX0" fmla="*/ 727876 w 732110"/>
              <a:gd name="connsiteY0" fmla="*/ 11565 h 654822"/>
              <a:gd name="connsiteX1" fmla="*/ 702224 w 732110"/>
              <a:gd name="connsiteY1" fmla="*/ 39 h 654822"/>
              <a:gd name="connsiteX2" fmla="*/ 363141 w 732110"/>
              <a:gd name="connsiteY2" fmla="*/ 12612 h 654822"/>
              <a:gd name="connsiteX3" fmla="*/ 42776 w 732110"/>
              <a:gd name="connsiteY3" fmla="*/ 23280 h 654822"/>
              <a:gd name="connsiteX4" fmla="*/ 18454 w 732110"/>
              <a:gd name="connsiteY4" fmla="*/ 24233 h 654822"/>
              <a:gd name="connsiteX5" fmla="*/ 212 w 732110"/>
              <a:gd name="connsiteY5" fmla="*/ 43188 h 654822"/>
              <a:gd name="connsiteX6" fmla="*/ 782 w 732110"/>
              <a:gd name="connsiteY6" fmla="*/ 67572 h 654822"/>
              <a:gd name="connsiteX7" fmla="*/ 10473 w 732110"/>
              <a:gd name="connsiteY7" fmla="*/ 174252 h 654822"/>
              <a:gd name="connsiteX8" fmla="*/ 21684 w 732110"/>
              <a:gd name="connsiteY8" fmla="*/ 252357 h 654822"/>
              <a:gd name="connsiteX9" fmla="*/ 29095 w 732110"/>
              <a:gd name="connsiteY9" fmla="*/ 319508 h 654822"/>
              <a:gd name="connsiteX10" fmla="*/ 37170 w 732110"/>
              <a:gd name="connsiteY10" fmla="*/ 405519 h 654822"/>
              <a:gd name="connsiteX11" fmla="*/ 47621 w 732110"/>
              <a:gd name="connsiteY11" fmla="*/ 468479 h 654822"/>
              <a:gd name="connsiteX12" fmla="*/ 84579 w 732110"/>
              <a:gd name="connsiteY12" fmla="*/ 570682 h 654822"/>
              <a:gd name="connsiteX13" fmla="*/ 101205 w 732110"/>
              <a:gd name="connsiteY13" fmla="*/ 600019 h 654822"/>
              <a:gd name="connsiteX14" fmla="*/ 146524 w 732110"/>
              <a:gd name="connsiteY14" fmla="*/ 634690 h 654822"/>
              <a:gd name="connsiteX15" fmla="*/ 180917 w 732110"/>
              <a:gd name="connsiteY15" fmla="*/ 643548 h 654822"/>
              <a:gd name="connsiteX16" fmla="*/ 335779 w 732110"/>
              <a:gd name="connsiteY16" fmla="*/ 654311 h 654822"/>
              <a:gd name="connsiteX17" fmla="*/ 521139 w 732110"/>
              <a:gd name="connsiteY17" fmla="*/ 645834 h 654822"/>
              <a:gd name="connsiteX18" fmla="*/ 613392 w 732110"/>
              <a:gd name="connsiteY18" fmla="*/ 624308 h 654822"/>
              <a:gd name="connsiteX19" fmla="*/ 662796 w 732110"/>
              <a:gd name="connsiteY19" fmla="*/ 577254 h 654822"/>
              <a:gd name="connsiteX20" fmla="*/ 695193 w 732110"/>
              <a:gd name="connsiteY20" fmla="*/ 487529 h 654822"/>
              <a:gd name="connsiteX21" fmla="*/ 714005 w 732110"/>
              <a:gd name="connsiteY21" fmla="*/ 353703 h 654822"/>
              <a:gd name="connsiteX22" fmla="*/ 722935 w 732110"/>
              <a:gd name="connsiteY22" fmla="*/ 164250 h 654822"/>
              <a:gd name="connsiteX23" fmla="*/ 729206 w 732110"/>
              <a:gd name="connsiteY23" fmla="*/ 51760 h 654822"/>
              <a:gd name="connsiteX24" fmla="*/ 732056 w 732110"/>
              <a:gd name="connsiteY24" fmla="*/ 25662 h 654822"/>
              <a:gd name="connsiteX25" fmla="*/ 727876 w 732110"/>
              <a:gd name="connsiteY25" fmla="*/ 11565 h 654822"/>
              <a:gd name="connsiteX26" fmla="*/ 200108 w 732110"/>
              <a:gd name="connsiteY26" fmla="*/ 580683 h 654822"/>
              <a:gd name="connsiteX27" fmla="*/ 186997 w 732110"/>
              <a:gd name="connsiteY27" fmla="*/ 573349 h 654822"/>
              <a:gd name="connsiteX28" fmla="*/ 181392 w 732110"/>
              <a:gd name="connsiteY28" fmla="*/ 553537 h 654822"/>
              <a:gd name="connsiteX29" fmla="*/ 165526 w 732110"/>
              <a:gd name="connsiteY29" fmla="*/ 451524 h 654822"/>
              <a:gd name="connsiteX30" fmla="*/ 138448 w 732110"/>
              <a:gd name="connsiteY30" fmla="*/ 260072 h 654822"/>
              <a:gd name="connsiteX31" fmla="*/ 128948 w 732110"/>
              <a:gd name="connsiteY31" fmla="*/ 200731 h 654822"/>
              <a:gd name="connsiteX32" fmla="*/ 129138 w 732110"/>
              <a:gd name="connsiteY32" fmla="*/ 193492 h 654822"/>
              <a:gd name="connsiteX33" fmla="*/ 137023 w 732110"/>
              <a:gd name="connsiteY33" fmla="*/ 185301 h 654822"/>
              <a:gd name="connsiteX34" fmla="*/ 145289 w 732110"/>
              <a:gd name="connsiteY34" fmla="*/ 193397 h 654822"/>
              <a:gd name="connsiteX35" fmla="*/ 149374 w 732110"/>
              <a:gd name="connsiteY35" fmla="*/ 209780 h 654822"/>
              <a:gd name="connsiteX36" fmla="*/ 167141 w 732110"/>
              <a:gd name="connsiteY36" fmla="*/ 328557 h 654822"/>
              <a:gd name="connsiteX37" fmla="*/ 195738 w 732110"/>
              <a:gd name="connsiteY37" fmla="*/ 531153 h 654822"/>
              <a:gd name="connsiteX38" fmla="*/ 204099 w 732110"/>
              <a:gd name="connsiteY38" fmla="*/ 567729 h 654822"/>
              <a:gd name="connsiteX39" fmla="*/ 200108 w 732110"/>
              <a:gd name="connsiteY39" fmla="*/ 580683 h 654822"/>
              <a:gd name="connsiteX40" fmla="*/ 316873 w 732110"/>
              <a:gd name="connsiteY40" fmla="*/ 520866 h 654822"/>
              <a:gd name="connsiteX41" fmla="*/ 307752 w 732110"/>
              <a:gd name="connsiteY41" fmla="*/ 530772 h 654822"/>
              <a:gd name="connsiteX42" fmla="*/ 299486 w 732110"/>
              <a:gd name="connsiteY42" fmla="*/ 522105 h 654822"/>
              <a:gd name="connsiteX43" fmla="*/ 298441 w 732110"/>
              <a:gd name="connsiteY43" fmla="*/ 510865 h 654822"/>
              <a:gd name="connsiteX44" fmla="*/ 282480 w 732110"/>
              <a:gd name="connsiteY44" fmla="*/ 231402 h 654822"/>
              <a:gd name="connsiteX45" fmla="*/ 282290 w 732110"/>
              <a:gd name="connsiteY45" fmla="*/ 216447 h 654822"/>
              <a:gd name="connsiteX46" fmla="*/ 289321 w 732110"/>
              <a:gd name="connsiteY46" fmla="*/ 208827 h 654822"/>
              <a:gd name="connsiteX47" fmla="*/ 299296 w 732110"/>
              <a:gd name="connsiteY47" fmla="*/ 215304 h 654822"/>
              <a:gd name="connsiteX48" fmla="*/ 300721 w 732110"/>
              <a:gd name="connsiteY48" fmla="*/ 230163 h 654822"/>
              <a:gd name="connsiteX49" fmla="*/ 307182 w 732110"/>
              <a:gd name="connsiteY49" fmla="*/ 370943 h 654822"/>
              <a:gd name="connsiteX50" fmla="*/ 316303 w 732110"/>
              <a:gd name="connsiteY50" fmla="*/ 505912 h 654822"/>
              <a:gd name="connsiteX51" fmla="*/ 316873 w 732110"/>
              <a:gd name="connsiteY51" fmla="*/ 520866 h 654822"/>
              <a:gd name="connsiteX52" fmla="*/ 469170 w 732110"/>
              <a:gd name="connsiteY52" fmla="*/ 216066 h 654822"/>
              <a:gd name="connsiteX53" fmla="*/ 466320 w 732110"/>
              <a:gd name="connsiteY53" fmla="*/ 251595 h 654822"/>
              <a:gd name="connsiteX54" fmla="*/ 457769 w 732110"/>
              <a:gd name="connsiteY54" fmla="*/ 358179 h 654822"/>
              <a:gd name="connsiteX55" fmla="*/ 450928 w 732110"/>
              <a:gd name="connsiteY55" fmla="*/ 491244 h 654822"/>
              <a:gd name="connsiteX56" fmla="*/ 449788 w 732110"/>
              <a:gd name="connsiteY56" fmla="*/ 528772 h 654822"/>
              <a:gd name="connsiteX57" fmla="*/ 449313 w 732110"/>
              <a:gd name="connsiteY57" fmla="*/ 543726 h 654822"/>
              <a:gd name="connsiteX58" fmla="*/ 440193 w 732110"/>
              <a:gd name="connsiteY58" fmla="*/ 555918 h 654822"/>
              <a:gd name="connsiteX59" fmla="*/ 431452 w 732110"/>
              <a:gd name="connsiteY59" fmla="*/ 543822 h 654822"/>
              <a:gd name="connsiteX60" fmla="*/ 431452 w 732110"/>
              <a:gd name="connsiteY60" fmla="*/ 526962 h 654822"/>
              <a:gd name="connsiteX61" fmla="*/ 435632 w 732110"/>
              <a:gd name="connsiteY61" fmla="*/ 423807 h 654822"/>
              <a:gd name="connsiteX62" fmla="*/ 443518 w 732110"/>
              <a:gd name="connsiteY62" fmla="*/ 298362 h 654822"/>
              <a:gd name="connsiteX63" fmla="*/ 451024 w 732110"/>
              <a:gd name="connsiteY63" fmla="*/ 214257 h 654822"/>
              <a:gd name="connsiteX64" fmla="*/ 460524 w 732110"/>
              <a:gd name="connsiteY64" fmla="*/ 202255 h 654822"/>
              <a:gd name="connsiteX65" fmla="*/ 469170 w 732110"/>
              <a:gd name="connsiteY65" fmla="*/ 216066 h 654822"/>
              <a:gd name="connsiteX66" fmla="*/ 637334 w 732110"/>
              <a:gd name="connsiteY66" fmla="*/ 220924 h 654822"/>
              <a:gd name="connsiteX67" fmla="*/ 624032 w 732110"/>
              <a:gd name="connsiteY67" fmla="*/ 277598 h 654822"/>
              <a:gd name="connsiteX68" fmla="*/ 566268 w 732110"/>
              <a:gd name="connsiteY68" fmla="*/ 520581 h 654822"/>
              <a:gd name="connsiteX69" fmla="*/ 558002 w 732110"/>
              <a:gd name="connsiteY69" fmla="*/ 553347 h 654822"/>
              <a:gd name="connsiteX70" fmla="*/ 554582 w 732110"/>
              <a:gd name="connsiteY70" fmla="*/ 564015 h 654822"/>
              <a:gd name="connsiteX71" fmla="*/ 544131 w 732110"/>
              <a:gd name="connsiteY71" fmla="*/ 569920 h 654822"/>
              <a:gd name="connsiteX72" fmla="*/ 538050 w 732110"/>
              <a:gd name="connsiteY72" fmla="*/ 557919 h 654822"/>
              <a:gd name="connsiteX73" fmla="*/ 539286 w 732110"/>
              <a:gd name="connsiteY73" fmla="*/ 552108 h 654822"/>
              <a:gd name="connsiteX74" fmla="*/ 594675 w 732110"/>
              <a:gd name="connsiteY74" fmla="*/ 318174 h 654822"/>
              <a:gd name="connsiteX75" fmla="*/ 620707 w 732110"/>
              <a:gd name="connsiteY75" fmla="*/ 210542 h 654822"/>
              <a:gd name="connsiteX76" fmla="*/ 623747 w 732110"/>
              <a:gd name="connsiteY76" fmla="*/ 201684 h 654822"/>
              <a:gd name="connsiteX77" fmla="*/ 633153 w 732110"/>
              <a:gd name="connsiteY77" fmla="*/ 197778 h 654822"/>
              <a:gd name="connsiteX78" fmla="*/ 638854 w 732110"/>
              <a:gd name="connsiteY78" fmla="*/ 204160 h 654822"/>
              <a:gd name="connsiteX79" fmla="*/ 637334 w 732110"/>
              <a:gd name="connsiteY79" fmla="*/ 220924 h 65482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</a:cxnLst>
            <a:rect l="l" t="t" r="r" b="b"/>
            <a:pathLst>
              <a:path w="732110" h="654822">
                <a:moveTo>
                  <a:pt x="727876" y="11565"/>
                </a:moveTo>
                <a:cubicBezTo>
                  <a:pt x="721605" y="1944"/>
                  <a:pt x="713150" y="-342"/>
                  <a:pt x="702224" y="39"/>
                </a:cubicBezTo>
                <a:cubicBezTo>
                  <a:pt x="589165" y="4421"/>
                  <a:pt x="476201" y="8421"/>
                  <a:pt x="363141" y="12612"/>
                </a:cubicBezTo>
                <a:cubicBezTo>
                  <a:pt x="256353" y="15946"/>
                  <a:pt x="149564" y="19661"/>
                  <a:pt x="42776" y="23280"/>
                </a:cubicBezTo>
                <a:cubicBezTo>
                  <a:pt x="34700" y="23566"/>
                  <a:pt x="26529" y="23566"/>
                  <a:pt x="18454" y="24233"/>
                </a:cubicBezTo>
                <a:cubicBezTo>
                  <a:pt x="5438" y="25281"/>
                  <a:pt x="972" y="29757"/>
                  <a:pt x="212" y="43188"/>
                </a:cubicBezTo>
                <a:cubicBezTo>
                  <a:pt x="-263" y="51284"/>
                  <a:pt x="117" y="59475"/>
                  <a:pt x="782" y="67572"/>
                </a:cubicBezTo>
                <a:cubicBezTo>
                  <a:pt x="3823" y="103100"/>
                  <a:pt x="6578" y="138723"/>
                  <a:pt x="10473" y="174252"/>
                </a:cubicBezTo>
                <a:cubicBezTo>
                  <a:pt x="13323" y="200350"/>
                  <a:pt x="16839" y="226544"/>
                  <a:pt x="21684" y="252357"/>
                </a:cubicBezTo>
                <a:cubicBezTo>
                  <a:pt x="25864" y="274645"/>
                  <a:pt x="27574" y="296934"/>
                  <a:pt x="29095" y="319508"/>
                </a:cubicBezTo>
                <a:cubicBezTo>
                  <a:pt x="31090" y="348178"/>
                  <a:pt x="33750" y="376944"/>
                  <a:pt x="37170" y="405519"/>
                </a:cubicBezTo>
                <a:cubicBezTo>
                  <a:pt x="39735" y="426664"/>
                  <a:pt x="43631" y="447619"/>
                  <a:pt x="47621" y="468479"/>
                </a:cubicBezTo>
                <a:cubicBezTo>
                  <a:pt x="54462" y="504483"/>
                  <a:pt x="71183" y="536964"/>
                  <a:pt x="84579" y="570682"/>
                </a:cubicBezTo>
                <a:cubicBezTo>
                  <a:pt x="88664" y="581064"/>
                  <a:pt x="95030" y="590685"/>
                  <a:pt x="101205" y="600019"/>
                </a:cubicBezTo>
                <a:cubicBezTo>
                  <a:pt x="112226" y="616783"/>
                  <a:pt x="127427" y="628594"/>
                  <a:pt x="146524" y="634690"/>
                </a:cubicBezTo>
                <a:cubicBezTo>
                  <a:pt x="157735" y="638310"/>
                  <a:pt x="169326" y="641358"/>
                  <a:pt x="180917" y="643548"/>
                </a:cubicBezTo>
                <a:cubicBezTo>
                  <a:pt x="232126" y="653264"/>
                  <a:pt x="283810" y="656121"/>
                  <a:pt x="335779" y="654311"/>
                </a:cubicBezTo>
                <a:cubicBezTo>
                  <a:pt x="397629" y="652216"/>
                  <a:pt x="459384" y="648882"/>
                  <a:pt x="521139" y="645834"/>
                </a:cubicBezTo>
                <a:cubicBezTo>
                  <a:pt x="553157" y="644215"/>
                  <a:pt x="584224" y="639453"/>
                  <a:pt x="613392" y="624308"/>
                </a:cubicBezTo>
                <a:cubicBezTo>
                  <a:pt x="634768" y="613259"/>
                  <a:pt x="652345" y="598400"/>
                  <a:pt x="662796" y="577254"/>
                </a:cubicBezTo>
                <a:cubicBezTo>
                  <a:pt x="676857" y="548679"/>
                  <a:pt x="689873" y="519247"/>
                  <a:pt x="695193" y="487529"/>
                </a:cubicBezTo>
                <a:cubicBezTo>
                  <a:pt x="702604" y="443142"/>
                  <a:pt x="710014" y="398756"/>
                  <a:pt x="714005" y="353703"/>
                </a:cubicBezTo>
                <a:cubicBezTo>
                  <a:pt x="719610" y="290647"/>
                  <a:pt x="720085" y="227401"/>
                  <a:pt x="722935" y="164250"/>
                </a:cubicBezTo>
                <a:cubicBezTo>
                  <a:pt x="724645" y="126722"/>
                  <a:pt x="723885" y="89098"/>
                  <a:pt x="729206" y="51760"/>
                </a:cubicBezTo>
                <a:cubicBezTo>
                  <a:pt x="730441" y="43092"/>
                  <a:pt x="731296" y="34329"/>
                  <a:pt x="732056" y="25662"/>
                </a:cubicBezTo>
                <a:cubicBezTo>
                  <a:pt x="732436" y="20423"/>
                  <a:pt x="730821" y="16041"/>
                  <a:pt x="727876" y="11565"/>
                </a:cubicBezTo>
                <a:close/>
                <a:moveTo>
                  <a:pt x="200108" y="580683"/>
                </a:moveTo>
                <a:cubicBezTo>
                  <a:pt x="195453" y="582779"/>
                  <a:pt x="189562" y="579921"/>
                  <a:pt x="186997" y="573349"/>
                </a:cubicBezTo>
                <a:cubicBezTo>
                  <a:pt x="184527" y="566967"/>
                  <a:pt x="182437" y="560300"/>
                  <a:pt x="181392" y="553537"/>
                </a:cubicBezTo>
                <a:cubicBezTo>
                  <a:pt x="175881" y="519533"/>
                  <a:pt x="170466" y="485624"/>
                  <a:pt x="165526" y="451524"/>
                </a:cubicBezTo>
                <a:cubicBezTo>
                  <a:pt x="156310" y="387707"/>
                  <a:pt x="147569" y="323889"/>
                  <a:pt x="138448" y="260072"/>
                </a:cubicBezTo>
                <a:cubicBezTo>
                  <a:pt x="135598" y="240260"/>
                  <a:pt x="132083" y="220543"/>
                  <a:pt x="128948" y="200731"/>
                </a:cubicBezTo>
                <a:cubicBezTo>
                  <a:pt x="128568" y="198350"/>
                  <a:pt x="127998" y="195302"/>
                  <a:pt x="129138" y="193492"/>
                </a:cubicBezTo>
                <a:cubicBezTo>
                  <a:pt x="130848" y="190635"/>
                  <a:pt x="133793" y="188539"/>
                  <a:pt x="137023" y="185301"/>
                </a:cubicBezTo>
                <a:cubicBezTo>
                  <a:pt x="140444" y="188539"/>
                  <a:pt x="144054" y="190444"/>
                  <a:pt x="145289" y="193397"/>
                </a:cubicBezTo>
                <a:cubicBezTo>
                  <a:pt x="147474" y="198540"/>
                  <a:pt x="148519" y="204160"/>
                  <a:pt x="149374" y="209780"/>
                </a:cubicBezTo>
                <a:cubicBezTo>
                  <a:pt x="155455" y="249404"/>
                  <a:pt x="161440" y="288933"/>
                  <a:pt x="167141" y="328557"/>
                </a:cubicBezTo>
                <a:cubicBezTo>
                  <a:pt x="176831" y="396089"/>
                  <a:pt x="185952" y="463621"/>
                  <a:pt x="195738" y="531153"/>
                </a:cubicBezTo>
                <a:cubicBezTo>
                  <a:pt x="197543" y="543441"/>
                  <a:pt x="201248" y="555537"/>
                  <a:pt x="204099" y="567729"/>
                </a:cubicBezTo>
                <a:cubicBezTo>
                  <a:pt x="205714" y="574397"/>
                  <a:pt x="204384" y="578683"/>
                  <a:pt x="200108" y="580683"/>
                </a:cubicBezTo>
                <a:close/>
                <a:moveTo>
                  <a:pt x="316873" y="520866"/>
                </a:moveTo>
                <a:cubicBezTo>
                  <a:pt x="316588" y="526772"/>
                  <a:pt x="312502" y="530868"/>
                  <a:pt x="307752" y="530772"/>
                </a:cubicBezTo>
                <a:cubicBezTo>
                  <a:pt x="303572" y="530677"/>
                  <a:pt x="300341" y="527343"/>
                  <a:pt x="299486" y="522105"/>
                </a:cubicBezTo>
                <a:cubicBezTo>
                  <a:pt x="298916" y="518390"/>
                  <a:pt x="298631" y="514675"/>
                  <a:pt x="298441" y="510865"/>
                </a:cubicBezTo>
                <a:cubicBezTo>
                  <a:pt x="293121" y="417711"/>
                  <a:pt x="287800" y="324556"/>
                  <a:pt x="282480" y="231402"/>
                </a:cubicBezTo>
                <a:cubicBezTo>
                  <a:pt x="282195" y="226449"/>
                  <a:pt x="282005" y="221400"/>
                  <a:pt x="282290" y="216447"/>
                </a:cubicBezTo>
                <a:cubicBezTo>
                  <a:pt x="282575" y="212256"/>
                  <a:pt x="285235" y="209685"/>
                  <a:pt x="289321" y="208827"/>
                </a:cubicBezTo>
                <a:cubicBezTo>
                  <a:pt x="293501" y="207875"/>
                  <a:pt x="298441" y="210828"/>
                  <a:pt x="299296" y="215304"/>
                </a:cubicBezTo>
                <a:cubicBezTo>
                  <a:pt x="300246" y="220162"/>
                  <a:pt x="300531" y="225210"/>
                  <a:pt x="300721" y="230163"/>
                </a:cubicBezTo>
                <a:cubicBezTo>
                  <a:pt x="302907" y="277122"/>
                  <a:pt x="304997" y="323985"/>
                  <a:pt x="307182" y="370943"/>
                </a:cubicBezTo>
                <a:cubicBezTo>
                  <a:pt x="310697" y="415901"/>
                  <a:pt x="313547" y="460859"/>
                  <a:pt x="316303" y="505912"/>
                </a:cubicBezTo>
                <a:cubicBezTo>
                  <a:pt x="316683" y="510865"/>
                  <a:pt x="317063" y="515913"/>
                  <a:pt x="316873" y="520866"/>
                </a:cubicBezTo>
                <a:close/>
                <a:moveTo>
                  <a:pt x="469170" y="216066"/>
                </a:moveTo>
                <a:cubicBezTo>
                  <a:pt x="468505" y="227973"/>
                  <a:pt x="467365" y="239784"/>
                  <a:pt x="466320" y="251595"/>
                </a:cubicBezTo>
                <a:cubicBezTo>
                  <a:pt x="463469" y="287123"/>
                  <a:pt x="460049" y="322651"/>
                  <a:pt x="457769" y="358179"/>
                </a:cubicBezTo>
                <a:cubicBezTo>
                  <a:pt x="455014" y="402471"/>
                  <a:pt x="453114" y="446857"/>
                  <a:pt x="450928" y="491244"/>
                </a:cubicBezTo>
                <a:cubicBezTo>
                  <a:pt x="450358" y="503721"/>
                  <a:pt x="450168" y="516294"/>
                  <a:pt x="449788" y="528772"/>
                </a:cubicBezTo>
                <a:cubicBezTo>
                  <a:pt x="449598" y="533820"/>
                  <a:pt x="449788" y="538773"/>
                  <a:pt x="449313" y="543726"/>
                </a:cubicBezTo>
                <a:cubicBezTo>
                  <a:pt x="448458" y="551918"/>
                  <a:pt x="445418" y="555728"/>
                  <a:pt x="440193" y="555918"/>
                </a:cubicBezTo>
                <a:cubicBezTo>
                  <a:pt x="434967" y="556109"/>
                  <a:pt x="431832" y="551823"/>
                  <a:pt x="431452" y="543822"/>
                </a:cubicBezTo>
                <a:cubicBezTo>
                  <a:pt x="431262" y="538202"/>
                  <a:pt x="431452" y="532582"/>
                  <a:pt x="431452" y="526962"/>
                </a:cubicBezTo>
                <a:cubicBezTo>
                  <a:pt x="432592" y="492577"/>
                  <a:pt x="433732" y="458192"/>
                  <a:pt x="435632" y="423807"/>
                </a:cubicBezTo>
                <a:cubicBezTo>
                  <a:pt x="437912" y="381992"/>
                  <a:pt x="440478" y="340082"/>
                  <a:pt x="443518" y="298362"/>
                </a:cubicBezTo>
                <a:cubicBezTo>
                  <a:pt x="445513" y="270264"/>
                  <a:pt x="448363" y="242260"/>
                  <a:pt x="451024" y="214257"/>
                </a:cubicBezTo>
                <a:cubicBezTo>
                  <a:pt x="451784" y="206637"/>
                  <a:pt x="455394" y="202446"/>
                  <a:pt x="460524" y="202255"/>
                </a:cubicBezTo>
                <a:cubicBezTo>
                  <a:pt x="466320" y="202065"/>
                  <a:pt x="469740" y="207018"/>
                  <a:pt x="469170" y="216066"/>
                </a:cubicBezTo>
                <a:close/>
                <a:moveTo>
                  <a:pt x="637334" y="220924"/>
                </a:moveTo>
                <a:cubicBezTo>
                  <a:pt x="633058" y="239879"/>
                  <a:pt x="628498" y="258738"/>
                  <a:pt x="624032" y="277598"/>
                </a:cubicBezTo>
                <a:cubicBezTo>
                  <a:pt x="604746" y="358560"/>
                  <a:pt x="585554" y="439618"/>
                  <a:pt x="566268" y="520581"/>
                </a:cubicBezTo>
                <a:cubicBezTo>
                  <a:pt x="563703" y="531534"/>
                  <a:pt x="560757" y="542488"/>
                  <a:pt x="558002" y="553347"/>
                </a:cubicBezTo>
                <a:cubicBezTo>
                  <a:pt x="557052" y="556966"/>
                  <a:pt x="556007" y="560586"/>
                  <a:pt x="554582" y="564015"/>
                </a:cubicBezTo>
                <a:cubicBezTo>
                  <a:pt x="552587" y="568777"/>
                  <a:pt x="548121" y="571063"/>
                  <a:pt x="544131" y="569920"/>
                </a:cubicBezTo>
                <a:cubicBezTo>
                  <a:pt x="540141" y="568777"/>
                  <a:pt x="537670" y="564586"/>
                  <a:pt x="538050" y="557919"/>
                </a:cubicBezTo>
                <a:cubicBezTo>
                  <a:pt x="538241" y="556966"/>
                  <a:pt x="538716" y="554490"/>
                  <a:pt x="539286" y="552108"/>
                </a:cubicBezTo>
                <a:cubicBezTo>
                  <a:pt x="557717" y="474099"/>
                  <a:pt x="576149" y="396184"/>
                  <a:pt x="594675" y="318174"/>
                </a:cubicBezTo>
                <a:cubicBezTo>
                  <a:pt x="603226" y="282265"/>
                  <a:pt x="611966" y="246356"/>
                  <a:pt x="620707" y="210542"/>
                </a:cubicBezTo>
                <a:cubicBezTo>
                  <a:pt x="621467" y="207494"/>
                  <a:pt x="622322" y="204446"/>
                  <a:pt x="623747" y="201684"/>
                </a:cubicBezTo>
                <a:cubicBezTo>
                  <a:pt x="625648" y="197969"/>
                  <a:pt x="629448" y="196254"/>
                  <a:pt x="633153" y="197778"/>
                </a:cubicBezTo>
                <a:cubicBezTo>
                  <a:pt x="635623" y="198731"/>
                  <a:pt x="638664" y="201874"/>
                  <a:pt x="638854" y="204160"/>
                </a:cubicBezTo>
                <a:cubicBezTo>
                  <a:pt x="639234" y="209780"/>
                  <a:pt x="638569" y="215495"/>
                  <a:pt x="637334" y="220924"/>
                </a:cubicBezTo>
                <a:close/>
              </a:path>
            </a:pathLst>
          </a:custGeom>
          <a:solidFill>
            <a:srgbClr val="3AACE2"/>
          </a:solidFill>
          <a:ln w="9452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9" name="Freeform 38">
            <a:extLst>
              <a:ext uri="{FF2B5EF4-FFF2-40B4-BE49-F238E27FC236}">
                <a16:creationId xmlns:a16="http://schemas.microsoft.com/office/drawing/2014/main" id="{629A24D3-E5CC-BA24-C59D-77AEFAA5AB77}"/>
              </a:ext>
            </a:extLst>
          </xdr:cNvPr>
          <xdr:cNvSpPr/>
        </xdr:nvSpPr>
        <xdr:spPr>
          <a:xfrm>
            <a:off x="3671903" y="2344516"/>
            <a:ext cx="44125" cy="226890"/>
          </a:xfrm>
          <a:custGeom>
            <a:avLst/>
            <a:gdLst>
              <a:gd name="connsiteX0" fmla="*/ 67235 w 76296"/>
              <a:gd name="connsiteY0" fmla="*/ 345853 h 396097"/>
              <a:gd name="connsiteX1" fmla="*/ 38638 w 76296"/>
              <a:gd name="connsiteY1" fmla="*/ 143256 h 396097"/>
              <a:gd name="connsiteX2" fmla="*/ 20871 w 76296"/>
              <a:gd name="connsiteY2" fmla="*/ 24479 h 396097"/>
              <a:gd name="connsiteX3" fmla="*/ 16786 w 76296"/>
              <a:gd name="connsiteY3" fmla="*/ 8096 h 396097"/>
              <a:gd name="connsiteX4" fmla="*/ 8520 w 76296"/>
              <a:gd name="connsiteY4" fmla="*/ 0 h 396097"/>
              <a:gd name="connsiteX5" fmla="*/ 635 w 76296"/>
              <a:gd name="connsiteY5" fmla="*/ 8192 h 396097"/>
              <a:gd name="connsiteX6" fmla="*/ 445 w 76296"/>
              <a:gd name="connsiteY6" fmla="*/ 15430 h 396097"/>
              <a:gd name="connsiteX7" fmla="*/ 9945 w 76296"/>
              <a:gd name="connsiteY7" fmla="*/ 74771 h 396097"/>
              <a:gd name="connsiteX8" fmla="*/ 37023 w 76296"/>
              <a:gd name="connsiteY8" fmla="*/ 266224 h 396097"/>
              <a:gd name="connsiteX9" fmla="*/ 52889 w 76296"/>
              <a:gd name="connsiteY9" fmla="*/ 368237 h 396097"/>
              <a:gd name="connsiteX10" fmla="*/ 58494 w 76296"/>
              <a:gd name="connsiteY10" fmla="*/ 388048 h 396097"/>
              <a:gd name="connsiteX11" fmla="*/ 71605 w 76296"/>
              <a:gd name="connsiteY11" fmla="*/ 395383 h 396097"/>
              <a:gd name="connsiteX12" fmla="*/ 75691 w 76296"/>
              <a:gd name="connsiteY12" fmla="*/ 382334 h 396097"/>
              <a:gd name="connsiteX13" fmla="*/ 67235 w 76296"/>
              <a:gd name="connsiteY13" fmla="*/ 345853 h 39609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76296" h="396097">
                <a:moveTo>
                  <a:pt x="67235" y="345853"/>
                </a:moveTo>
                <a:cubicBezTo>
                  <a:pt x="57449" y="278321"/>
                  <a:pt x="48233" y="210788"/>
                  <a:pt x="38638" y="143256"/>
                </a:cubicBezTo>
                <a:cubicBezTo>
                  <a:pt x="32937" y="103632"/>
                  <a:pt x="26857" y="64008"/>
                  <a:pt x="20871" y="24479"/>
                </a:cubicBezTo>
                <a:cubicBezTo>
                  <a:pt x="20016" y="18955"/>
                  <a:pt x="18971" y="13240"/>
                  <a:pt x="16786" y="8096"/>
                </a:cubicBezTo>
                <a:cubicBezTo>
                  <a:pt x="15551" y="5144"/>
                  <a:pt x="11941" y="3238"/>
                  <a:pt x="8520" y="0"/>
                </a:cubicBezTo>
                <a:cubicBezTo>
                  <a:pt x="5290" y="3238"/>
                  <a:pt x="2345" y="5334"/>
                  <a:pt x="635" y="8192"/>
                </a:cubicBezTo>
                <a:cubicBezTo>
                  <a:pt x="-411" y="10001"/>
                  <a:pt x="65" y="13049"/>
                  <a:pt x="445" y="15430"/>
                </a:cubicBezTo>
                <a:cubicBezTo>
                  <a:pt x="3580" y="35242"/>
                  <a:pt x="7095" y="54959"/>
                  <a:pt x="9945" y="74771"/>
                </a:cubicBezTo>
                <a:cubicBezTo>
                  <a:pt x="19066" y="138589"/>
                  <a:pt x="27807" y="202406"/>
                  <a:pt x="37023" y="266224"/>
                </a:cubicBezTo>
                <a:cubicBezTo>
                  <a:pt x="41963" y="300323"/>
                  <a:pt x="47378" y="334232"/>
                  <a:pt x="52889" y="368237"/>
                </a:cubicBezTo>
                <a:cubicBezTo>
                  <a:pt x="54029" y="374999"/>
                  <a:pt x="56119" y="381667"/>
                  <a:pt x="58494" y="388048"/>
                </a:cubicBezTo>
                <a:cubicBezTo>
                  <a:pt x="60964" y="394621"/>
                  <a:pt x="66950" y="397573"/>
                  <a:pt x="71605" y="395383"/>
                </a:cubicBezTo>
                <a:cubicBezTo>
                  <a:pt x="75881" y="393383"/>
                  <a:pt x="77211" y="389096"/>
                  <a:pt x="75691" y="382334"/>
                </a:cubicBezTo>
                <a:cubicBezTo>
                  <a:pt x="72745" y="370142"/>
                  <a:pt x="69040" y="358140"/>
                  <a:pt x="67235" y="345853"/>
                </a:cubicBezTo>
                <a:close/>
              </a:path>
            </a:pathLst>
          </a:custGeom>
          <a:solidFill>
            <a:srgbClr val="FCE586"/>
          </a:solidFill>
          <a:ln w="9452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0" name="Freeform 39">
            <a:extLst>
              <a:ext uri="{FF2B5EF4-FFF2-40B4-BE49-F238E27FC236}">
                <a16:creationId xmlns:a16="http://schemas.microsoft.com/office/drawing/2014/main" id="{CB4840F2-B4F1-144D-BD88-53644FB07DAE}"/>
              </a:ext>
            </a:extLst>
          </xdr:cNvPr>
          <xdr:cNvSpPr/>
        </xdr:nvSpPr>
        <xdr:spPr>
          <a:xfrm>
            <a:off x="3908729" y="2351392"/>
            <a:ext cx="58424" cy="213660"/>
          </a:xfrm>
          <a:custGeom>
            <a:avLst/>
            <a:gdLst>
              <a:gd name="connsiteX0" fmla="*/ 95159 w 101020"/>
              <a:gd name="connsiteY0" fmla="*/ 569 h 373000"/>
              <a:gd name="connsiteX1" fmla="*/ 85753 w 101020"/>
              <a:gd name="connsiteY1" fmla="*/ 4474 h 373000"/>
              <a:gd name="connsiteX2" fmla="*/ 82713 w 101020"/>
              <a:gd name="connsiteY2" fmla="*/ 13332 h 373000"/>
              <a:gd name="connsiteX3" fmla="*/ 56681 w 101020"/>
              <a:gd name="connsiteY3" fmla="*/ 120965 h 373000"/>
              <a:gd name="connsiteX4" fmla="*/ 1292 w 101020"/>
              <a:gd name="connsiteY4" fmla="*/ 354899 h 373000"/>
              <a:gd name="connsiteX5" fmla="*/ 56 w 101020"/>
              <a:gd name="connsiteY5" fmla="*/ 360709 h 373000"/>
              <a:gd name="connsiteX6" fmla="*/ 6137 w 101020"/>
              <a:gd name="connsiteY6" fmla="*/ 372710 h 373000"/>
              <a:gd name="connsiteX7" fmla="*/ 16588 w 101020"/>
              <a:gd name="connsiteY7" fmla="*/ 366805 h 373000"/>
              <a:gd name="connsiteX8" fmla="*/ 20008 w 101020"/>
              <a:gd name="connsiteY8" fmla="*/ 356137 h 373000"/>
              <a:gd name="connsiteX9" fmla="*/ 28274 w 101020"/>
              <a:gd name="connsiteY9" fmla="*/ 323371 h 373000"/>
              <a:gd name="connsiteX10" fmla="*/ 86038 w 101020"/>
              <a:gd name="connsiteY10" fmla="*/ 80388 h 373000"/>
              <a:gd name="connsiteX11" fmla="*/ 99339 w 101020"/>
              <a:gd name="connsiteY11" fmla="*/ 23714 h 373000"/>
              <a:gd name="connsiteX12" fmla="*/ 100955 w 101020"/>
              <a:gd name="connsiteY12" fmla="*/ 7046 h 373000"/>
              <a:gd name="connsiteX13" fmla="*/ 95159 w 101020"/>
              <a:gd name="connsiteY13" fmla="*/ 569 h 373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101020" h="373000">
                <a:moveTo>
                  <a:pt x="95159" y="569"/>
                </a:moveTo>
                <a:cubicBezTo>
                  <a:pt x="91454" y="-955"/>
                  <a:pt x="87654" y="664"/>
                  <a:pt x="85753" y="4474"/>
                </a:cubicBezTo>
                <a:cubicBezTo>
                  <a:pt x="84328" y="7236"/>
                  <a:pt x="83378" y="10284"/>
                  <a:pt x="82713" y="13332"/>
                </a:cubicBezTo>
                <a:cubicBezTo>
                  <a:pt x="73972" y="49241"/>
                  <a:pt x="65232" y="85055"/>
                  <a:pt x="56681" y="120965"/>
                </a:cubicBezTo>
                <a:cubicBezTo>
                  <a:pt x="38155" y="198879"/>
                  <a:pt x="19723" y="276889"/>
                  <a:pt x="1292" y="354899"/>
                </a:cubicBezTo>
                <a:cubicBezTo>
                  <a:pt x="722" y="357375"/>
                  <a:pt x="246" y="359756"/>
                  <a:pt x="56" y="360709"/>
                </a:cubicBezTo>
                <a:cubicBezTo>
                  <a:pt x="-419" y="367281"/>
                  <a:pt x="2147" y="371567"/>
                  <a:pt x="6137" y="372710"/>
                </a:cubicBezTo>
                <a:cubicBezTo>
                  <a:pt x="10127" y="373853"/>
                  <a:pt x="14498" y="371567"/>
                  <a:pt x="16588" y="366805"/>
                </a:cubicBezTo>
                <a:cubicBezTo>
                  <a:pt x="18013" y="363376"/>
                  <a:pt x="19058" y="359756"/>
                  <a:pt x="20008" y="356137"/>
                </a:cubicBezTo>
                <a:cubicBezTo>
                  <a:pt x="22858" y="345278"/>
                  <a:pt x="25709" y="334325"/>
                  <a:pt x="28274" y="323371"/>
                </a:cubicBezTo>
                <a:cubicBezTo>
                  <a:pt x="47560" y="242408"/>
                  <a:pt x="66847" y="161351"/>
                  <a:pt x="86038" y="80388"/>
                </a:cubicBezTo>
                <a:cubicBezTo>
                  <a:pt x="90504" y="61529"/>
                  <a:pt x="95159" y="42669"/>
                  <a:pt x="99339" y="23714"/>
                </a:cubicBezTo>
                <a:cubicBezTo>
                  <a:pt x="100575" y="18285"/>
                  <a:pt x="101240" y="12570"/>
                  <a:pt x="100955" y="7046"/>
                </a:cubicBezTo>
                <a:cubicBezTo>
                  <a:pt x="100670" y="4569"/>
                  <a:pt x="97629" y="1521"/>
                  <a:pt x="95159" y="569"/>
                </a:cubicBezTo>
                <a:close/>
              </a:path>
            </a:pathLst>
          </a:custGeom>
          <a:solidFill>
            <a:srgbClr val="FCE586"/>
          </a:solidFill>
          <a:ln w="9452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1" name="Freeform 40">
            <a:extLst>
              <a:ext uri="{FF2B5EF4-FFF2-40B4-BE49-F238E27FC236}">
                <a16:creationId xmlns:a16="http://schemas.microsoft.com/office/drawing/2014/main" id="{E09FDA57-14FB-12E3-7D58-215A9B666CD5}"/>
              </a:ext>
            </a:extLst>
          </xdr:cNvPr>
          <xdr:cNvSpPr/>
        </xdr:nvSpPr>
        <xdr:spPr>
          <a:xfrm>
            <a:off x="3846836" y="2354275"/>
            <a:ext cx="22114" cy="202648"/>
          </a:xfrm>
          <a:custGeom>
            <a:avLst/>
            <a:gdLst>
              <a:gd name="connsiteX0" fmla="*/ 29452 w 38236"/>
              <a:gd name="connsiteY0" fmla="*/ 12 h 353776"/>
              <a:gd name="connsiteX1" fmla="*/ 19952 w 38236"/>
              <a:gd name="connsiteY1" fmla="*/ 12013 h 353776"/>
              <a:gd name="connsiteX2" fmla="*/ 12446 w 38236"/>
              <a:gd name="connsiteY2" fmla="*/ 96119 h 353776"/>
              <a:gd name="connsiteX3" fmla="*/ 4560 w 38236"/>
              <a:gd name="connsiteY3" fmla="*/ 221563 h 353776"/>
              <a:gd name="connsiteX4" fmla="*/ 0 w 38236"/>
              <a:gd name="connsiteY4" fmla="*/ 324719 h 353776"/>
              <a:gd name="connsiteX5" fmla="*/ 475 w 38236"/>
              <a:gd name="connsiteY5" fmla="*/ 341674 h 353776"/>
              <a:gd name="connsiteX6" fmla="*/ 9216 w 38236"/>
              <a:gd name="connsiteY6" fmla="*/ 353770 h 353776"/>
              <a:gd name="connsiteX7" fmla="*/ 18336 w 38236"/>
              <a:gd name="connsiteY7" fmla="*/ 341578 h 353776"/>
              <a:gd name="connsiteX8" fmla="*/ 18811 w 38236"/>
              <a:gd name="connsiteY8" fmla="*/ 326624 h 353776"/>
              <a:gd name="connsiteX9" fmla="*/ 19952 w 38236"/>
              <a:gd name="connsiteY9" fmla="*/ 289095 h 353776"/>
              <a:gd name="connsiteX10" fmla="*/ 26792 w 38236"/>
              <a:gd name="connsiteY10" fmla="*/ 156031 h 353776"/>
              <a:gd name="connsiteX11" fmla="*/ 35343 w 38236"/>
              <a:gd name="connsiteY11" fmla="*/ 49446 h 353776"/>
              <a:gd name="connsiteX12" fmla="*/ 38193 w 38236"/>
              <a:gd name="connsiteY12" fmla="*/ 13918 h 353776"/>
              <a:gd name="connsiteX13" fmla="*/ 29452 w 38236"/>
              <a:gd name="connsiteY13" fmla="*/ 12 h 3537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38236" h="353776">
                <a:moveTo>
                  <a:pt x="29452" y="12"/>
                </a:moveTo>
                <a:cubicBezTo>
                  <a:pt x="24322" y="202"/>
                  <a:pt x="20712" y="4393"/>
                  <a:pt x="19952" y="12013"/>
                </a:cubicBezTo>
                <a:cubicBezTo>
                  <a:pt x="17291" y="40017"/>
                  <a:pt x="14441" y="68020"/>
                  <a:pt x="12446" y="96119"/>
                </a:cubicBezTo>
                <a:cubicBezTo>
                  <a:pt x="9406" y="137934"/>
                  <a:pt x="6840" y="179748"/>
                  <a:pt x="4560" y="221563"/>
                </a:cubicBezTo>
                <a:cubicBezTo>
                  <a:pt x="2660" y="255948"/>
                  <a:pt x="1425" y="290334"/>
                  <a:pt x="0" y="324719"/>
                </a:cubicBezTo>
                <a:cubicBezTo>
                  <a:pt x="380" y="330339"/>
                  <a:pt x="190" y="335958"/>
                  <a:pt x="475" y="341674"/>
                </a:cubicBezTo>
                <a:cubicBezTo>
                  <a:pt x="855" y="349674"/>
                  <a:pt x="3990" y="353961"/>
                  <a:pt x="9216" y="353770"/>
                </a:cubicBezTo>
                <a:cubicBezTo>
                  <a:pt x="14441" y="353580"/>
                  <a:pt x="17576" y="349770"/>
                  <a:pt x="18336" y="341578"/>
                </a:cubicBezTo>
                <a:cubicBezTo>
                  <a:pt x="18811" y="336625"/>
                  <a:pt x="18716" y="331577"/>
                  <a:pt x="18811" y="326624"/>
                </a:cubicBezTo>
                <a:cubicBezTo>
                  <a:pt x="19192" y="314146"/>
                  <a:pt x="19381" y="301573"/>
                  <a:pt x="19952" y="289095"/>
                </a:cubicBezTo>
                <a:cubicBezTo>
                  <a:pt x="22137" y="244709"/>
                  <a:pt x="23942" y="200322"/>
                  <a:pt x="26792" y="156031"/>
                </a:cubicBezTo>
                <a:cubicBezTo>
                  <a:pt x="29072" y="120503"/>
                  <a:pt x="32493" y="84975"/>
                  <a:pt x="35343" y="49446"/>
                </a:cubicBezTo>
                <a:cubicBezTo>
                  <a:pt x="36293" y="37635"/>
                  <a:pt x="37433" y="25729"/>
                  <a:pt x="38193" y="13918"/>
                </a:cubicBezTo>
                <a:cubicBezTo>
                  <a:pt x="38668" y="4679"/>
                  <a:pt x="35248" y="-274"/>
                  <a:pt x="29452" y="12"/>
                </a:cubicBezTo>
                <a:close/>
              </a:path>
            </a:pathLst>
          </a:custGeom>
          <a:solidFill>
            <a:srgbClr val="FCE586"/>
          </a:solidFill>
          <a:ln w="9452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8015CB33-AB7C-90C3-AA0B-B814B05AFDB9}"/>
              </a:ext>
            </a:extLst>
          </xdr:cNvPr>
          <xdr:cNvSpPr/>
        </xdr:nvSpPr>
        <xdr:spPr>
          <a:xfrm>
            <a:off x="3760708" y="2357944"/>
            <a:ext cx="20111" cy="184521"/>
          </a:xfrm>
          <a:custGeom>
            <a:avLst/>
            <a:gdLst>
              <a:gd name="connsiteX0" fmla="*/ 25793 w 34774"/>
              <a:gd name="connsiteY0" fmla="*/ 162199 h 322130"/>
              <a:gd name="connsiteX1" fmla="*/ 18572 w 34774"/>
              <a:gd name="connsiteY1" fmla="*/ 21515 h 322130"/>
              <a:gd name="connsiteX2" fmla="*/ 17147 w 34774"/>
              <a:gd name="connsiteY2" fmla="*/ 6656 h 322130"/>
              <a:gd name="connsiteX3" fmla="*/ 7172 w 34774"/>
              <a:gd name="connsiteY3" fmla="*/ 179 h 322130"/>
              <a:gd name="connsiteX4" fmla="*/ 141 w 34774"/>
              <a:gd name="connsiteY4" fmla="*/ 7799 h 322130"/>
              <a:gd name="connsiteX5" fmla="*/ 331 w 34774"/>
              <a:gd name="connsiteY5" fmla="*/ 22753 h 322130"/>
              <a:gd name="connsiteX6" fmla="*/ 16292 w 34774"/>
              <a:gd name="connsiteY6" fmla="*/ 302217 h 322130"/>
              <a:gd name="connsiteX7" fmla="*/ 17337 w 34774"/>
              <a:gd name="connsiteY7" fmla="*/ 313456 h 322130"/>
              <a:gd name="connsiteX8" fmla="*/ 25603 w 34774"/>
              <a:gd name="connsiteY8" fmla="*/ 322124 h 322130"/>
              <a:gd name="connsiteX9" fmla="*/ 34724 w 34774"/>
              <a:gd name="connsiteY9" fmla="*/ 312218 h 322130"/>
              <a:gd name="connsiteX10" fmla="*/ 34249 w 34774"/>
              <a:gd name="connsiteY10" fmla="*/ 297264 h 322130"/>
              <a:gd name="connsiteX11" fmla="*/ 25793 w 34774"/>
              <a:gd name="connsiteY11" fmla="*/ 162199 h 32213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34774" h="322130">
                <a:moveTo>
                  <a:pt x="25793" y="162199"/>
                </a:moveTo>
                <a:cubicBezTo>
                  <a:pt x="22943" y="115336"/>
                  <a:pt x="20758" y="68378"/>
                  <a:pt x="18572" y="21515"/>
                </a:cubicBezTo>
                <a:cubicBezTo>
                  <a:pt x="18382" y="16562"/>
                  <a:pt x="18002" y="11514"/>
                  <a:pt x="17147" y="6656"/>
                </a:cubicBezTo>
                <a:cubicBezTo>
                  <a:pt x="16292" y="2179"/>
                  <a:pt x="11352" y="-774"/>
                  <a:pt x="7172" y="179"/>
                </a:cubicBezTo>
                <a:cubicBezTo>
                  <a:pt x="3086" y="1036"/>
                  <a:pt x="426" y="3703"/>
                  <a:pt x="141" y="7799"/>
                </a:cubicBezTo>
                <a:cubicBezTo>
                  <a:pt x="-144" y="12752"/>
                  <a:pt x="46" y="17800"/>
                  <a:pt x="331" y="22753"/>
                </a:cubicBezTo>
                <a:cubicBezTo>
                  <a:pt x="5651" y="115908"/>
                  <a:pt x="10972" y="209062"/>
                  <a:pt x="16292" y="302217"/>
                </a:cubicBezTo>
                <a:cubicBezTo>
                  <a:pt x="16482" y="305931"/>
                  <a:pt x="16767" y="309741"/>
                  <a:pt x="17337" y="313456"/>
                </a:cubicBezTo>
                <a:cubicBezTo>
                  <a:pt x="18192" y="318695"/>
                  <a:pt x="21423" y="321933"/>
                  <a:pt x="25603" y="322124"/>
                </a:cubicBezTo>
                <a:cubicBezTo>
                  <a:pt x="30353" y="322314"/>
                  <a:pt x="34439" y="318219"/>
                  <a:pt x="34724" y="312218"/>
                </a:cubicBezTo>
                <a:cubicBezTo>
                  <a:pt x="34914" y="307265"/>
                  <a:pt x="34534" y="302217"/>
                  <a:pt x="34249" y="297264"/>
                </a:cubicBezTo>
                <a:cubicBezTo>
                  <a:pt x="31399" y="252115"/>
                  <a:pt x="28643" y="207157"/>
                  <a:pt x="25793" y="162199"/>
                </a:cubicBezTo>
                <a:close/>
              </a:path>
            </a:pathLst>
          </a:custGeom>
          <a:solidFill>
            <a:srgbClr val="FCE586"/>
          </a:solidFill>
          <a:ln w="9452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3" name="Freeform 42">
            <a:extLst>
              <a:ext uri="{FF2B5EF4-FFF2-40B4-BE49-F238E27FC236}">
                <a16:creationId xmlns:a16="http://schemas.microsoft.com/office/drawing/2014/main" id="{1A9BCA1F-4E4A-6973-ABA4-7551FDD3B4D9}"/>
              </a:ext>
            </a:extLst>
          </xdr:cNvPr>
          <xdr:cNvSpPr/>
        </xdr:nvSpPr>
        <xdr:spPr>
          <a:xfrm>
            <a:off x="3569570" y="1950391"/>
            <a:ext cx="470327" cy="400350"/>
          </a:xfrm>
          <a:custGeom>
            <a:avLst/>
            <a:gdLst>
              <a:gd name="connsiteX0" fmla="*/ 614135 w 813232"/>
              <a:gd name="connsiteY0" fmla="*/ 624707 h 698917"/>
              <a:gd name="connsiteX1" fmla="*/ 563496 w 813232"/>
              <a:gd name="connsiteY1" fmla="*/ 672236 h 698917"/>
              <a:gd name="connsiteX2" fmla="*/ 504116 w 813232"/>
              <a:gd name="connsiteY2" fmla="*/ 679285 h 698917"/>
              <a:gd name="connsiteX3" fmla="*/ 454712 w 813232"/>
              <a:gd name="connsiteY3" fmla="*/ 646709 h 698917"/>
              <a:gd name="connsiteX4" fmla="*/ 434000 w 813232"/>
              <a:gd name="connsiteY4" fmla="*/ 624135 h 698917"/>
              <a:gd name="connsiteX5" fmla="*/ 406638 w 813232"/>
              <a:gd name="connsiteY5" fmla="*/ 629279 h 698917"/>
              <a:gd name="connsiteX6" fmla="*/ 355714 w 813232"/>
              <a:gd name="connsiteY6" fmla="*/ 673189 h 698917"/>
              <a:gd name="connsiteX7" fmla="*/ 296619 w 813232"/>
              <a:gd name="connsiteY7" fmla="*/ 697573 h 698917"/>
              <a:gd name="connsiteX8" fmla="*/ 243130 w 813232"/>
              <a:gd name="connsiteY8" fmla="*/ 658044 h 698917"/>
              <a:gd name="connsiteX9" fmla="*/ 219568 w 813232"/>
              <a:gd name="connsiteY9" fmla="*/ 633565 h 698917"/>
              <a:gd name="connsiteX10" fmla="*/ 193441 w 813232"/>
              <a:gd name="connsiteY10" fmla="*/ 638518 h 698917"/>
              <a:gd name="connsiteX11" fmla="*/ 140522 w 813232"/>
              <a:gd name="connsiteY11" fmla="*/ 678332 h 698917"/>
              <a:gd name="connsiteX12" fmla="*/ 77437 w 813232"/>
              <a:gd name="connsiteY12" fmla="*/ 675380 h 698917"/>
              <a:gd name="connsiteX13" fmla="*/ 2096 w 813232"/>
              <a:gd name="connsiteY13" fmla="*/ 561651 h 698917"/>
              <a:gd name="connsiteX14" fmla="*/ 31263 w 813232"/>
              <a:gd name="connsiteY14" fmla="*/ 425920 h 698917"/>
              <a:gd name="connsiteX15" fmla="*/ 59575 w 813232"/>
              <a:gd name="connsiteY15" fmla="*/ 371723 h 698917"/>
              <a:gd name="connsiteX16" fmla="*/ 59385 w 813232"/>
              <a:gd name="connsiteY16" fmla="*/ 306191 h 698917"/>
              <a:gd name="connsiteX17" fmla="*/ 158383 w 813232"/>
              <a:gd name="connsiteY17" fmla="*/ 224085 h 698917"/>
              <a:gd name="connsiteX18" fmla="*/ 192396 w 813232"/>
              <a:gd name="connsiteY18" fmla="*/ 224180 h 698917"/>
              <a:gd name="connsiteX19" fmla="*/ 207787 w 813232"/>
              <a:gd name="connsiteY19" fmla="*/ 214560 h 698917"/>
              <a:gd name="connsiteX20" fmla="*/ 249116 w 813232"/>
              <a:gd name="connsiteY20" fmla="*/ 167602 h 698917"/>
              <a:gd name="connsiteX21" fmla="*/ 376996 w 813232"/>
              <a:gd name="connsiteY21" fmla="*/ 127787 h 698917"/>
              <a:gd name="connsiteX22" fmla="*/ 399133 w 813232"/>
              <a:gd name="connsiteY22" fmla="*/ 83782 h 698917"/>
              <a:gd name="connsiteX23" fmla="*/ 394857 w 813232"/>
              <a:gd name="connsiteY23" fmla="*/ 55302 h 698917"/>
              <a:gd name="connsiteX24" fmla="*/ 376806 w 813232"/>
              <a:gd name="connsiteY24" fmla="*/ 18155 h 698917"/>
              <a:gd name="connsiteX25" fmla="*/ 418799 w 813232"/>
              <a:gd name="connsiteY25" fmla="*/ 4915 h 698917"/>
              <a:gd name="connsiteX26" fmla="*/ 478084 w 813232"/>
              <a:gd name="connsiteY26" fmla="*/ 38252 h 698917"/>
              <a:gd name="connsiteX27" fmla="*/ 526633 w 813232"/>
              <a:gd name="connsiteY27" fmla="*/ 85401 h 698917"/>
              <a:gd name="connsiteX28" fmla="*/ 592568 w 813232"/>
              <a:gd name="connsiteY28" fmla="*/ 106547 h 698917"/>
              <a:gd name="connsiteX29" fmla="*/ 647008 w 813232"/>
              <a:gd name="connsiteY29" fmla="*/ 143027 h 698917"/>
              <a:gd name="connsiteX30" fmla="*/ 663064 w 813232"/>
              <a:gd name="connsiteY30" fmla="*/ 168745 h 698917"/>
              <a:gd name="connsiteX31" fmla="*/ 667814 w 813232"/>
              <a:gd name="connsiteY31" fmla="*/ 206178 h 698917"/>
              <a:gd name="connsiteX32" fmla="*/ 673800 w 813232"/>
              <a:gd name="connsiteY32" fmla="*/ 215227 h 698917"/>
              <a:gd name="connsiteX33" fmla="*/ 686056 w 813232"/>
              <a:gd name="connsiteY33" fmla="*/ 218275 h 698917"/>
              <a:gd name="connsiteX34" fmla="*/ 714558 w 813232"/>
              <a:gd name="connsiteY34" fmla="*/ 229895 h 698917"/>
              <a:gd name="connsiteX35" fmla="*/ 756551 w 813232"/>
              <a:gd name="connsiteY35" fmla="*/ 267043 h 698917"/>
              <a:gd name="connsiteX36" fmla="*/ 785149 w 813232"/>
              <a:gd name="connsiteY36" fmla="*/ 417157 h 698917"/>
              <a:gd name="connsiteX37" fmla="*/ 803485 w 813232"/>
              <a:gd name="connsiteY37" fmla="*/ 488213 h 698917"/>
              <a:gd name="connsiteX38" fmla="*/ 809851 w 813232"/>
              <a:gd name="connsiteY38" fmla="*/ 562318 h 698917"/>
              <a:gd name="connsiteX39" fmla="*/ 779163 w 813232"/>
              <a:gd name="connsiteY39" fmla="*/ 627850 h 698917"/>
              <a:gd name="connsiteX40" fmla="*/ 725199 w 813232"/>
              <a:gd name="connsiteY40" fmla="*/ 677856 h 698917"/>
              <a:gd name="connsiteX41" fmla="*/ 658884 w 813232"/>
              <a:gd name="connsiteY41" fmla="*/ 664712 h 698917"/>
              <a:gd name="connsiteX42" fmla="*/ 614135 w 813232"/>
              <a:gd name="connsiteY42" fmla="*/ 624707 h 69891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</a:cxnLst>
            <a:rect l="l" t="t" r="r" b="b"/>
            <a:pathLst>
              <a:path w="813232" h="698917">
                <a:moveTo>
                  <a:pt x="614135" y="624707"/>
                </a:moveTo>
                <a:cubicBezTo>
                  <a:pt x="597319" y="640518"/>
                  <a:pt x="580787" y="656901"/>
                  <a:pt x="563496" y="672236"/>
                </a:cubicBezTo>
                <a:cubicBezTo>
                  <a:pt x="544209" y="689477"/>
                  <a:pt x="527678" y="688905"/>
                  <a:pt x="504116" y="679285"/>
                </a:cubicBezTo>
                <a:cubicBezTo>
                  <a:pt x="485685" y="671760"/>
                  <a:pt x="469248" y="660235"/>
                  <a:pt x="454712" y="646709"/>
                </a:cubicBezTo>
                <a:cubicBezTo>
                  <a:pt x="447492" y="639947"/>
                  <a:pt x="441601" y="630136"/>
                  <a:pt x="434000" y="624135"/>
                </a:cubicBezTo>
                <a:cubicBezTo>
                  <a:pt x="422695" y="615182"/>
                  <a:pt x="417849" y="619944"/>
                  <a:pt x="406638" y="629279"/>
                </a:cubicBezTo>
                <a:cubicBezTo>
                  <a:pt x="389442" y="643566"/>
                  <a:pt x="372816" y="658806"/>
                  <a:pt x="355714" y="673189"/>
                </a:cubicBezTo>
                <a:cubicBezTo>
                  <a:pt x="337473" y="688429"/>
                  <a:pt x="322367" y="703574"/>
                  <a:pt x="296619" y="697573"/>
                </a:cubicBezTo>
                <a:cubicBezTo>
                  <a:pt x="274008" y="692430"/>
                  <a:pt x="258331" y="674237"/>
                  <a:pt x="243130" y="658044"/>
                </a:cubicBezTo>
                <a:cubicBezTo>
                  <a:pt x="235435" y="649757"/>
                  <a:pt x="228119" y="640995"/>
                  <a:pt x="219568" y="633565"/>
                </a:cubicBezTo>
                <a:cubicBezTo>
                  <a:pt x="208072" y="623469"/>
                  <a:pt x="204367" y="629755"/>
                  <a:pt x="193441" y="638518"/>
                </a:cubicBezTo>
                <a:cubicBezTo>
                  <a:pt x="176150" y="652329"/>
                  <a:pt x="159713" y="667093"/>
                  <a:pt x="140522" y="678332"/>
                </a:cubicBezTo>
                <a:cubicBezTo>
                  <a:pt x="116105" y="692620"/>
                  <a:pt x="100714" y="690810"/>
                  <a:pt x="77437" y="675380"/>
                </a:cubicBezTo>
                <a:cubicBezTo>
                  <a:pt x="36013" y="648043"/>
                  <a:pt x="10266" y="611372"/>
                  <a:pt x="2096" y="561651"/>
                </a:cubicBezTo>
                <a:cubicBezTo>
                  <a:pt x="-5600" y="515169"/>
                  <a:pt x="8746" y="466592"/>
                  <a:pt x="31263" y="425920"/>
                </a:cubicBezTo>
                <a:cubicBezTo>
                  <a:pt x="41619" y="407156"/>
                  <a:pt x="64421" y="394392"/>
                  <a:pt x="59575" y="371723"/>
                </a:cubicBezTo>
                <a:cubicBezTo>
                  <a:pt x="54825" y="349625"/>
                  <a:pt x="51120" y="328003"/>
                  <a:pt x="59385" y="306191"/>
                </a:cubicBezTo>
                <a:cubicBezTo>
                  <a:pt x="74587" y="265995"/>
                  <a:pt x="114395" y="226562"/>
                  <a:pt x="158383" y="224085"/>
                </a:cubicBezTo>
                <a:cubicBezTo>
                  <a:pt x="169689" y="223418"/>
                  <a:pt x="181090" y="223990"/>
                  <a:pt x="192396" y="224180"/>
                </a:cubicBezTo>
                <a:cubicBezTo>
                  <a:pt x="207692" y="224466"/>
                  <a:pt x="202277" y="224752"/>
                  <a:pt x="207787" y="214560"/>
                </a:cubicBezTo>
                <a:cubicBezTo>
                  <a:pt x="218523" y="194748"/>
                  <a:pt x="229164" y="179794"/>
                  <a:pt x="249116" y="167602"/>
                </a:cubicBezTo>
                <a:cubicBezTo>
                  <a:pt x="288259" y="143694"/>
                  <a:pt x="338518" y="152076"/>
                  <a:pt x="376996" y="127787"/>
                </a:cubicBezTo>
                <a:cubicBezTo>
                  <a:pt x="392672" y="117881"/>
                  <a:pt x="398943" y="101784"/>
                  <a:pt x="399133" y="83782"/>
                </a:cubicBezTo>
                <a:cubicBezTo>
                  <a:pt x="399228" y="74162"/>
                  <a:pt x="397708" y="64446"/>
                  <a:pt x="394857" y="55302"/>
                </a:cubicBezTo>
                <a:cubicBezTo>
                  <a:pt x="390867" y="42539"/>
                  <a:pt x="379371" y="30728"/>
                  <a:pt x="376806" y="18155"/>
                </a:cubicBezTo>
                <a:cubicBezTo>
                  <a:pt x="371580" y="-8039"/>
                  <a:pt x="404928" y="533"/>
                  <a:pt x="418799" y="4915"/>
                </a:cubicBezTo>
                <a:cubicBezTo>
                  <a:pt x="441411" y="12059"/>
                  <a:pt x="460888" y="21679"/>
                  <a:pt x="478084" y="38252"/>
                </a:cubicBezTo>
                <a:cubicBezTo>
                  <a:pt x="493570" y="53111"/>
                  <a:pt x="507821" y="74733"/>
                  <a:pt x="526633" y="85401"/>
                </a:cubicBezTo>
                <a:cubicBezTo>
                  <a:pt x="546490" y="96545"/>
                  <a:pt x="571477" y="97117"/>
                  <a:pt x="592568" y="106547"/>
                </a:cubicBezTo>
                <a:cubicBezTo>
                  <a:pt x="612805" y="115595"/>
                  <a:pt x="631901" y="126549"/>
                  <a:pt x="647008" y="143027"/>
                </a:cubicBezTo>
                <a:cubicBezTo>
                  <a:pt x="653943" y="150647"/>
                  <a:pt x="659549" y="159029"/>
                  <a:pt x="663064" y="168745"/>
                </a:cubicBezTo>
                <a:cubicBezTo>
                  <a:pt x="667529" y="181223"/>
                  <a:pt x="664204" y="194081"/>
                  <a:pt x="667814" y="206178"/>
                </a:cubicBezTo>
                <a:cubicBezTo>
                  <a:pt x="670474" y="215036"/>
                  <a:pt x="665344" y="209893"/>
                  <a:pt x="673800" y="215227"/>
                </a:cubicBezTo>
                <a:cubicBezTo>
                  <a:pt x="676365" y="216846"/>
                  <a:pt x="682825" y="217322"/>
                  <a:pt x="686056" y="218275"/>
                </a:cubicBezTo>
                <a:cubicBezTo>
                  <a:pt x="695937" y="221132"/>
                  <a:pt x="705532" y="224942"/>
                  <a:pt x="714558" y="229895"/>
                </a:cubicBezTo>
                <a:cubicBezTo>
                  <a:pt x="731184" y="239039"/>
                  <a:pt x="745341" y="251803"/>
                  <a:pt x="756551" y="267043"/>
                </a:cubicBezTo>
                <a:cubicBezTo>
                  <a:pt x="786859" y="308191"/>
                  <a:pt x="798830" y="367913"/>
                  <a:pt x="785149" y="417157"/>
                </a:cubicBezTo>
                <a:cubicBezTo>
                  <a:pt x="776693" y="447637"/>
                  <a:pt x="792654" y="461258"/>
                  <a:pt x="803485" y="488213"/>
                </a:cubicBezTo>
                <a:cubicBezTo>
                  <a:pt x="813651" y="513455"/>
                  <a:pt x="816026" y="535743"/>
                  <a:pt x="809851" y="562318"/>
                </a:cubicBezTo>
                <a:cubicBezTo>
                  <a:pt x="804340" y="586035"/>
                  <a:pt x="794459" y="608800"/>
                  <a:pt x="779163" y="627850"/>
                </a:cubicBezTo>
                <a:cubicBezTo>
                  <a:pt x="765862" y="644519"/>
                  <a:pt x="745626" y="669951"/>
                  <a:pt x="725199" y="677856"/>
                </a:cubicBezTo>
                <a:cubicBezTo>
                  <a:pt x="706672" y="685000"/>
                  <a:pt x="675890" y="674046"/>
                  <a:pt x="658884" y="664712"/>
                </a:cubicBezTo>
                <a:cubicBezTo>
                  <a:pt x="641022" y="654806"/>
                  <a:pt x="632946" y="630707"/>
                  <a:pt x="614135" y="624707"/>
                </a:cubicBezTo>
                <a:close/>
              </a:path>
            </a:pathLst>
          </a:custGeom>
          <a:solidFill>
            <a:srgbClr val="FEB4B4"/>
          </a:solidFill>
          <a:ln w="9452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  <xdr:twoCellAnchor editAs="oneCell">
    <xdr:from>
      <xdr:col>14</xdr:col>
      <xdr:colOff>323276</xdr:colOff>
      <xdr:row>7</xdr:row>
      <xdr:rowOff>271093</xdr:rowOff>
    </xdr:from>
    <xdr:to>
      <xdr:col>15</xdr:col>
      <xdr:colOff>171197</xdr:colOff>
      <xdr:row>8</xdr:row>
      <xdr:rowOff>88821</xdr:rowOff>
    </xdr:to>
    <xdr:grpSp>
      <xdr:nvGrpSpPr>
        <xdr:cNvPr id="311" name="Group 310" descr="Birthday cake emoji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GrpSpPr/>
      </xdr:nvGrpSpPr>
      <xdr:grpSpPr>
        <a:xfrm>
          <a:off x="24173876" y="4036643"/>
          <a:ext cx="390846" cy="449553"/>
          <a:chOff x="7039451" y="4142898"/>
          <a:chExt cx="638175" cy="705803"/>
        </a:xfrm>
      </xdr:grpSpPr>
      <xdr:sp macro="" textlink="">
        <xdr:nvSpPr>
          <xdr:cNvPr id="363" name="Freeform: Shape 362">
            <a:extLst>
              <a:ext uri="{FF2B5EF4-FFF2-40B4-BE49-F238E27FC236}">
                <a16:creationId xmlns:a16="http://schemas.microsoft.com/office/drawing/2014/main" id="{00000000-0008-0000-0000-00006B010000}"/>
              </a:ext>
            </a:extLst>
          </xdr:cNvPr>
          <xdr:cNvSpPr/>
        </xdr:nvSpPr>
        <xdr:spPr>
          <a:xfrm>
            <a:off x="7062311" y="4702016"/>
            <a:ext cx="600075" cy="104775"/>
          </a:xfrm>
          <a:custGeom>
            <a:avLst/>
            <a:gdLst>
              <a:gd name="connsiteX0" fmla="*/ 7144 w 600075"/>
              <a:gd name="connsiteY0" fmla="*/ 7144 h 104775"/>
              <a:gd name="connsiteX1" fmla="*/ 594837 w 600075"/>
              <a:gd name="connsiteY1" fmla="*/ 7144 h 104775"/>
              <a:gd name="connsiteX2" fmla="*/ 594837 w 600075"/>
              <a:gd name="connsiteY2" fmla="*/ 102394 h 104775"/>
              <a:gd name="connsiteX3" fmla="*/ 7144 w 600075"/>
              <a:gd name="connsiteY3" fmla="*/ 102394 h 1047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600075" h="104775">
                <a:moveTo>
                  <a:pt x="7144" y="7144"/>
                </a:moveTo>
                <a:lnTo>
                  <a:pt x="594837" y="7144"/>
                </a:lnTo>
                <a:lnTo>
                  <a:pt x="594837" y="102394"/>
                </a:lnTo>
                <a:lnTo>
                  <a:pt x="7144" y="102394"/>
                </a:lnTo>
                <a:close/>
              </a:path>
            </a:pathLst>
          </a:custGeom>
          <a:solidFill>
            <a:srgbClr val="EF4343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64" name="Freeform: Shape 363">
            <a:extLst>
              <a:ext uri="{FF2B5EF4-FFF2-40B4-BE49-F238E27FC236}">
                <a16:creationId xmlns:a16="http://schemas.microsoft.com/office/drawing/2014/main" id="{00000000-0008-0000-0000-00006C010000}"/>
              </a:ext>
            </a:extLst>
          </xdr:cNvPr>
          <xdr:cNvSpPr/>
        </xdr:nvSpPr>
        <xdr:spPr>
          <a:xfrm>
            <a:off x="7157565" y="4175283"/>
            <a:ext cx="66675" cy="114300"/>
          </a:xfrm>
          <a:custGeom>
            <a:avLst/>
            <a:gdLst>
              <a:gd name="connsiteX0" fmla="*/ 8092 w 66675"/>
              <a:gd name="connsiteY0" fmla="*/ 55721 h 114300"/>
              <a:gd name="connsiteX1" fmla="*/ 36667 w 66675"/>
              <a:gd name="connsiteY1" fmla="*/ 7144 h 114300"/>
              <a:gd name="connsiteX2" fmla="*/ 65242 w 66675"/>
              <a:gd name="connsiteY2" fmla="*/ 55721 h 114300"/>
              <a:gd name="connsiteX3" fmla="*/ 55717 w 66675"/>
              <a:gd name="connsiteY3" fmla="*/ 103346 h 114300"/>
              <a:gd name="connsiteX4" fmla="*/ 47145 w 66675"/>
              <a:gd name="connsiteY4" fmla="*/ 111919 h 114300"/>
              <a:gd name="connsiteX5" fmla="*/ 37620 w 66675"/>
              <a:gd name="connsiteY5" fmla="*/ 114776 h 114300"/>
              <a:gd name="connsiteX6" fmla="*/ 34763 w 66675"/>
              <a:gd name="connsiteY6" fmla="*/ 114776 h 114300"/>
              <a:gd name="connsiteX7" fmla="*/ 25238 w 66675"/>
              <a:gd name="connsiteY7" fmla="*/ 111919 h 114300"/>
              <a:gd name="connsiteX8" fmla="*/ 16665 w 66675"/>
              <a:gd name="connsiteY8" fmla="*/ 103346 h 114300"/>
              <a:gd name="connsiteX9" fmla="*/ 8092 w 66675"/>
              <a:gd name="connsiteY9" fmla="*/ 55721 h 1143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66675" h="114300">
                <a:moveTo>
                  <a:pt x="8092" y="55721"/>
                </a:moveTo>
                <a:cubicBezTo>
                  <a:pt x="11903" y="36671"/>
                  <a:pt x="22380" y="19526"/>
                  <a:pt x="36667" y="7144"/>
                </a:cubicBezTo>
                <a:cubicBezTo>
                  <a:pt x="50955" y="18574"/>
                  <a:pt x="62385" y="36671"/>
                  <a:pt x="65242" y="55721"/>
                </a:cubicBezTo>
                <a:cubicBezTo>
                  <a:pt x="68100" y="73819"/>
                  <a:pt x="65242" y="90011"/>
                  <a:pt x="55717" y="103346"/>
                </a:cubicBezTo>
                <a:cubicBezTo>
                  <a:pt x="52860" y="107156"/>
                  <a:pt x="50003" y="110014"/>
                  <a:pt x="47145" y="111919"/>
                </a:cubicBezTo>
                <a:cubicBezTo>
                  <a:pt x="44288" y="113824"/>
                  <a:pt x="40478" y="114776"/>
                  <a:pt x="37620" y="114776"/>
                </a:cubicBezTo>
                <a:cubicBezTo>
                  <a:pt x="36667" y="114776"/>
                  <a:pt x="35715" y="114776"/>
                  <a:pt x="34763" y="114776"/>
                </a:cubicBezTo>
                <a:cubicBezTo>
                  <a:pt x="31905" y="114776"/>
                  <a:pt x="28095" y="113824"/>
                  <a:pt x="25238" y="111919"/>
                </a:cubicBezTo>
                <a:cubicBezTo>
                  <a:pt x="22380" y="110014"/>
                  <a:pt x="19523" y="107156"/>
                  <a:pt x="16665" y="103346"/>
                </a:cubicBezTo>
                <a:cubicBezTo>
                  <a:pt x="9045" y="90011"/>
                  <a:pt x="5235" y="73819"/>
                  <a:pt x="8092" y="55721"/>
                </a:cubicBezTo>
                <a:close/>
              </a:path>
            </a:pathLst>
          </a:custGeom>
          <a:solidFill>
            <a:srgbClr val="FFC717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65" name="Freeform: Shape 364">
            <a:extLst>
              <a:ext uri="{FF2B5EF4-FFF2-40B4-BE49-F238E27FC236}">
                <a16:creationId xmlns:a16="http://schemas.microsoft.com/office/drawing/2014/main" id="{00000000-0008-0000-0000-00006D010000}"/>
              </a:ext>
            </a:extLst>
          </xdr:cNvPr>
          <xdr:cNvSpPr/>
        </xdr:nvSpPr>
        <xdr:spPr>
          <a:xfrm>
            <a:off x="7321395" y="4142898"/>
            <a:ext cx="66675" cy="114300"/>
          </a:xfrm>
          <a:custGeom>
            <a:avLst/>
            <a:gdLst>
              <a:gd name="connsiteX0" fmla="*/ 8092 w 66675"/>
              <a:gd name="connsiteY0" fmla="*/ 55721 h 114300"/>
              <a:gd name="connsiteX1" fmla="*/ 36667 w 66675"/>
              <a:gd name="connsiteY1" fmla="*/ 7144 h 114300"/>
              <a:gd name="connsiteX2" fmla="*/ 65242 w 66675"/>
              <a:gd name="connsiteY2" fmla="*/ 55721 h 114300"/>
              <a:gd name="connsiteX3" fmla="*/ 55717 w 66675"/>
              <a:gd name="connsiteY3" fmla="*/ 103346 h 114300"/>
              <a:gd name="connsiteX4" fmla="*/ 47145 w 66675"/>
              <a:gd name="connsiteY4" fmla="*/ 111919 h 114300"/>
              <a:gd name="connsiteX5" fmla="*/ 37620 w 66675"/>
              <a:gd name="connsiteY5" fmla="*/ 114776 h 114300"/>
              <a:gd name="connsiteX6" fmla="*/ 34762 w 66675"/>
              <a:gd name="connsiteY6" fmla="*/ 114776 h 114300"/>
              <a:gd name="connsiteX7" fmla="*/ 25237 w 66675"/>
              <a:gd name="connsiteY7" fmla="*/ 111919 h 114300"/>
              <a:gd name="connsiteX8" fmla="*/ 16665 w 66675"/>
              <a:gd name="connsiteY8" fmla="*/ 103346 h 114300"/>
              <a:gd name="connsiteX9" fmla="*/ 8092 w 66675"/>
              <a:gd name="connsiteY9" fmla="*/ 55721 h 1143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66675" h="114300">
                <a:moveTo>
                  <a:pt x="8092" y="55721"/>
                </a:moveTo>
                <a:cubicBezTo>
                  <a:pt x="11902" y="36671"/>
                  <a:pt x="22380" y="19526"/>
                  <a:pt x="36667" y="7144"/>
                </a:cubicBezTo>
                <a:cubicBezTo>
                  <a:pt x="50955" y="18574"/>
                  <a:pt x="62385" y="36671"/>
                  <a:pt x="65242" y="55721"/>
                </a:cubicBezTo>
                <a:cubicBezTo>
                  <a:pt x="68100" y="73819"/>
                  <a:pt x="65242" y="90011"/>
                  <a:pt x="55717" y="103346"/>
                </a:cubicBezTo>
                <a:cubicBezTo>
                  <a:pt x="52860" y="107156"/>
                  <a:pt x="50002" y="110014"/>
                  <a:pt x="47145" y="111919"/>
                </a:cubicBezTo>
                <a:cubicBezTo>
                  <a:pt x="44287" y="113824"/>
                  <a:pt x="40477" y="114776"/>
                  <a:pt x="37620" y="114776"/>
                </a:cubicBezTo>
                <a:cubicBezTo>
                  <a:pt x="36667" y="114776"/>
                  <a:pt x="35715" y="114776"/>
                  <a:pt x="34762" y="114776"/>
                </a:cubicBezTo>
                <a:cubicBezTo>
                  <a:pt x="31905" y="114776"/>
                  <a:pt x="28095" y="113824"/>
                  <a:pt x="25237" y="111919"/>
                </a:cubicBezTo>
                <a:cubicBezTo>
                  <a:pt x="22380" y="110014"/>
                  <a:pt x="19523" y="107156"/>
                  <a:pt x="16665" y="103346"/>
                </a:cubicBezTo>
                <a:cubicBezTo>
                  <a:pt x="9045" y="90011"/>
                  <a:pt x="5235" y="72866"/>
                  <a:pt x="8092" y="55721"/>
                </a:cubicBezTo>
                <a:close/>
              </a:path>
            </a:pathLst>
          </a:custGeom>
          <a:solidFill>
            <a:srgbClr val="FFC717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66" name="Freeform: Shape 365">
            <a:extLst>
              <a:ext uri="{FF2B5EF4-FFF2-40B4-BE49-F238E27FC236}">
                <a16:creationId xmlns:a16="http://schemas.microsoft.com/office/drawing/2014/main" id="{00000000-0008-0000-0000-00006E010000}"/>
              </a:ext>
            </a:extLst>
          </xdr:cNvPr>
          <xdr:cNvSpPr/>
        </xdr:nvSpPr>
        <xdr:spPr>
          <a:xfrm>
            <a:off x="7490940" y="4175283"/>
            <a:ext cx="66675" cy="114300"/>
          </a:xfrm>
          <a:custGeom>
            <a:avLst/>
            <a:gdLst>
              <a:gd name="connsiteX0" fmla="*/ 8092 w 66675"/>
              <a:gd name="connsiteY0" fmla="*/ 55721 h 114300"/>
              <a:gd name="connsiteX1" fmla="*/ 36667 w 66675"/>
              <a:gd name="connsiteY1" fmla="*/ 7144 h 114300"/>
              <a:gd name="connsiteX2" fmla="*/ 65242 w 66675"/>
              <a:gd name="connsiteY2" fmla="*/ 55721 h 114300"/>
              <a:gd name="connsiteX3" fmla="*/ 55717 w 66675"/>
              <a:gd name="connsiteY3" fmla="*/ 103346 h 114300"/>
              <a:gd name="connsiteX4" fmla="*/ 47145 w 66675"/>
              <a:gd name="connsiteY4" fmla="*/ 111919 h 114300"/>
              <a:gd name="connsiteX5" fmla="*/ 37620 w 66675"/>
              <a:gd name="connsiteY5" fmla="*/ 114776 h 114300"/>
              <a:gd name="connsiteX6" fmla="*/ 34763 w 66675"/>
              <a:gd name="connsiteY6" fmla="*/ 114776 h 114300"/>
              <a:gd name="connsiteX7" fmla="*/ 25238 w 66675"/>
              <a:gd name="connsiteY7" fmla="*/ 111919 h 114300"/>
              <a:gd name="connsiteX8" fmla="*/ 16665 w 66675"/>
              <a:gd name="connsiteY8" fmla="*/ 103346 h 114300"/>
              <a:gd name="connsiteX9" fmla="*/ 8092 w 66675"/>
              <a:gd name="connsiteY9" fmla="*/ 55721 h 1143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66675" h="114300">
                <a:moveTo>
                  <a:pt x="8092" y="55721"/>
                </a:moveTo>
                <a:cubicBezTo>
                  <a:pt x="11903" y="36671"/>
                  <a:pt x="22380" y="19526"/>
                  <a:pt x="36667" y="7144"/>
                </a:cubicBezTo>
                <a:cubicBezTo>
                  <a:pt x="50955" y="18574"/>
                  <a:pt x="62385" y="36671"/>
                  <a:pt x="65242" y="55721"/>
                </a:cubicBezTo>
                <a:cubicBezTo>
                  <a:pt x="68100" y="73819"/>
                  <a:pt x="65242" y="90011"/>
                  <a:pt x="55717" y="103346"/>
                </a:cubicBezTo>
                <a:cubicBezTo>
                  <a:pt x="52860" y="107156"/>
                  <a:pt x="50003" y="110014"/>
                  <a:pt x="47145" y="111919"/>
                </a:cubicBezTo>
                <a:cubicBezTo>
                  <a:pt x="44288" y="113824"/>
                  <a:pt x="40478" y="114776"/>
                  <a:pt x="37620" y="114776"/>
                </a:cubicBezTo>
                <a:cubicBezTo>
                  <a:pt x="36667" y="114776"/>
                  <a:pt x="35715" y="114776"/>
                  <a:pt x="34763" y="114776"/>
                </a:cubicBezTo>
                <a:cubicBezTo>
                  <a:pt x="31905" y="114776"/>
                  <a:pt x="28095" y="113824"/>
                  <a:pt x="25238" y="111919"/>
                </a:cubicBezTo>
                <a:cubicBezTo>
                  <a:pt x="22380" y="110014"/>
                  <a:pt x="19523" y="107156"/>
                  <a:pt x="16665" y="103346"/>
                </a:cubicBezTo>
                <a:cubicBezTo>
                  <a:pt x="9045" y="90011"/>
                  <a:pt x="5235" y="73819"/>
                  <a:pt x="8092" y="55721"/>
                </a:cubicBezTo>
                <a:close/>
              </a:path>
            </a:pathLst>
          </a:custGeom>
          <a:solidFill>
            <a:srgbClr val="FFC717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67" name="Freeform: Shape 366">
            <a:extLst>
              <a:ext uri="{FF2B5EF4-FFF2-40B4-BE49-F238E27FC236}">
                <a16:creationId xmlns:a16="http://schemas.microsoft.com/office/drawing/2014/main" id="{00000000-0008-0000-0000-00006F010000}"/>
              </a:ext>
            </a:extLst>
          </xdr:cNvPr>
          <xdr:cNvSpPr/>
        </xdr:nvSpPr>
        <xdr:spPr>
          <a:xfrm>
            <a:off x="7161371" y="4289583"/>
            <a:ext cx="66675" cy="257175"/>
          </a:xfrm>
          <a:custGeom>
            <a:avLst/>
            <a:gdLst>
              <a:gd name="connsiteX0" fmla="*/ 7144 w 66675"/>
              <a:gd name="connsiteY0" fmla="*/ 30956 h 257175"/>
              <a:gd name="connsiteX1" fmla="*/ 30956 w 66675"/>
              <a:gd name="connsiteY1" fmla="*/ 7144 h 257175"/>
              <a:gd name="connsiteX2" fmla="*/ 37624 w 66675"/>
              <a:gd name="connsiteY2" fmla="*/ 7144 h 257175"/>
              <a:gd name="connsiteX3" fmla="*/ 61436 w 66675"/>
              <a:gd name="connsiteY3" fmla="*/ 30956 h 257175"/>
              <a:gd name="connsiteX4" fmla="*/ 61436 w 66675"/>
              <a:gd name="connsiteY4" fmla="*/ 250031 h 257175"/>
              <a:gd name="connsiteX5" fmla="*/ 8096 w 66675"/>
              <a:gd name="connsiteY5" fmla="*/ 250031 h 257175"/>
              <a:gd name="connsiteX6" fmla="*/ 7144 w 66675"/>
              <a:gd name="connsiteY6" fmla="*/ 30956 h 257175"/>
              <a:gd name="connsiteX7" fmla="*/ 7144 w 66675"/>
              <a:gd name="connsiteY7" fmla="*/ 30956 h 2571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6675" h="257175">
                <a:moveTo>
                  <a:pt x="7144" y="30956"/>
                </a:moveTo>
                <a:cubicBezTo>
                  <a:pt x="7144" y="17621"/>
                  <a:pt x="17621" y="7144"/>
                  <a:pt x="30956" y="7144"/>
                </a:cubicBezTo>
                <a:lnTo>
                  <a:pt x="37624" y="7144"/>
                </a:lnTo>
                <a:cubicBezTo>
                  <a:pt x="50959" y="7144"/>
                  <a:pt x="61436" y="17621"/>
                  <a:pt x="61436" y="30956"/>
                </a:cubicBezTo>
                <a:lnTo>
                  <a:pt x="61436" y="250031"/>
                </a:lnTo>
                <a:lnTo>
                  <a:pt x="8096" y="250031"/>
                </a:lnTo>
                <a:lnTo>
                  <a:pt x="7144" y="30956"/>
                </a:lnTo>
                <a:lnTo>
                  <a:pt x="7144" y="30956"/>
                </a:lnTo>
                <a:close/>
              </a:path>
            </a:pathLst>
          </a:custGeom>
          <a:solidFill>
            <a:srgbClr val="3AACE2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68" name="Freeform: Shape 367">
            <a:extLst>
              <a:ext uri="{FF2B5EF4-FFF2-40B4-BE49-F238E27FC236}">
                <a16:creationId xmlns:a16="http://schemas.microsoft.com/office/drawing/2014/main" id="{00000000-0008-0000-0000-000070010000}"/>
              </a:ext>
            </a:extLst>
          </xdr:cNvPr>
          <xdr:cNvSpPr/>
        </xdr:nvSpPr>
        <xdr:spPr>
          <a:xfrm>
            <a:off x="7490936" y="4289583"/>
            <a:ext cx="66675" cy="257175"/>
          </a:xfrm>
          <a:custGeom>
            <a:avLst/>
            <a:gdLst>
              <a:gd name="connsiteX0" fmla="*/ 7144 w 66675"/>
              <a:gd name="connsiteY0" fmla="*/ 30956 h 257175"/>
              <a:gd name="connsiteX1" fmla="*/ 30956 w 66675"/>
              <a:gd name="connsiteY1" fmla="*/ 7144 h 257175"/>
              <a:gd name="connsiteX2" fmla="*/ 37624 w 66675"/>
              <a:gd name="connsiteY2" fmla="*/ 7144 h 257175"/>
              <a:gd name="connsiteX3" fmla="*/ 61436 w 66675"/>
              <a:gd name="connsiteY3" fmla="*/ 30956 h 257175"/>
              <a:gd name="connsiteX4" fmla="*/ 61436 w 66675"/>
              <a:gd name="connsiteY4" fmla="*/ 250031 h 257175"/>
              <a:gd name="connsiteX5" fmla="*/ 8096 w 66675"/>
              <a:gd name="connsiteY5" fmla="*/ 250031 h 257175"/>
              <a:gd name="connsiteX6" fmla="*/ 7144 w 66675"/>
              <a:gd name="connsiteY6" fmla="*/ 30956 h 257175"/>
              <a:gd name="connsiteX7" fmla="*/ 7144 w 66675"/>
              <a:gd name="connsiteY7" fmla="*/ 30956 h 2571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6675" h="257175">
                <a:moveTo>
                  <a:pt x="7144" y="30956"/>
                </a:moveTo>
                <a:cubicBezTo>
                  <a:pt x="7144" y="17621"/>
                  <a:pt x="17621" y="7144"/>
                  <a:pt x="30956" y="7144"/>
                </a:cubicBezTo>
                <a:lnTo>
                  <a:pt x="37624" y="7144"/>
                </a:lnTo>
                <a:cubicBezTo>
                  <a:pt x="50959" y="7144"/>
                  <a:pt x="61436" y="17621"/>
                  <a:pt x="61436" y="30956"/>
                </a:cubicBezTo>
                <a:lnTo>
                  <a:pt x="61436" y="250031"/>
                </a:lnTo>
                <a:lnTo>
                  <a:pt x="8096" y="250031"/>
                </a:lnTo>
                <a:lnTo>
                  <a:pt x="7144" y="30956"/>
                </a:lnTo>
                <a:lnTo>
                  <a:pt x="7144" y="30956"/>
                </a:lnTo>
                <a:close/>
              </a:path>
            </a:pathLst>
          </a:custGeom>
          <a:solidFill>
            <a:srgbClr val="3AACE2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69" name="Freeform: Shape 368">
            <a:extLst>
              <a:ext uri="{FF2B5EF4-FFF2-40B4-BE49-F238E27FC236}">
                <a16:creationId xmlns:a16="http://schemas.microsoft.com/office/drawing/2014/main" id="{00000000-0008-0000-0000-000071010000}"/>
              </a:ext>
            </a:extLst>
          </xdr:cNvPr>
          <xdr:cNvSpPr/>
        </xdr:nvSpPr>
        <xdr:spPr>
          <a:xfrm>
            <a:off x="7329011" y="4261008"/>
            <a:ext cx="66675" cy="257175"/>
          </a:xfrm>
          <a:custGeom>
            <a:avLst/>
            <a:gdLst>
              <a:gd name="connsiteX0" fmla="*/ 7144 w 66675"/>
              <a:gd name="connsiteY0" fmla="*/ 30956 h 257175"/>
              <a:gd name="connsiteX1" fmla="*/ 30956 w 66675"/>
              <a:gd name="connsiteY1" fmla="*/ 7144 h 257175"/>
              <a:gd name="connsiteX2" fmla="*/ 37624 w 66675"/>
              <a:gd name="connsiteY2" fmla="*/ 7144 h 257175"/>
              <a:gd name="connsiteX3" fmla="*/ 61436 w 66675"/>
              <a:gd name="connsiteY3" fmla="*/ 30956 h 257175"/>
              <a:gd name="connsiteX4" fmla="*/ 61436 w 66675"/>
              <a:gd name="connsiteY4" fmla="*/ 250031 h 257175"/>
              <a:gd name="connsiteX5" fmla="*/ 8096 w 66675"/>
              <a:gd name="connsiteY5" fmla="*/ 250031 h 257175"/>
              <a:gd name="connsiteX6" fmla="*/ 7144 w 66675"/>
              <a:gd name="connsiteY6" fmla="*/ 30956 h 257175"/>
              <a:gd name="connsiteX7" fmla="*/ 7144 w 66675"/>
              <a:gd name="connsiteY7" fmla="*/ 30956 h 2571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6675" h="257175">
                <a:moveTo>
                  <a:pt x="7144" y="30956"/>
                </a:moveTo>
                <a:cubicBezTo>
                  <a:pt x="7144" y="17621"/>
                  <a:pt x="17621" y="7144"/>
                  <a:pt x="30956" y="7144"/>
                </a:cubicBezTo>
                <a:lnTo>
                  <a:pt x="37624" y="7144"/>
                </a:lnTo>
                <a:cubicBezTo>
                  <a:pt x="50959" y="7144"/>
                  <a:pt x="61436" y="17621"/>
                  <a:pt x="61436" y="30956"/>
                </a:cubicBezTo>
                <a:lnTo>
                  <a:pt x="61436" y="250031"/>
                </a:lnTo>
                <a:lnTo>
                  <a:pt x="8096" y="250031"/>
                </a:lnTo>
                <a:lnTo>
                  <a:pt x="7144" y="30956"/>
                </a:lnTo>
                <a:lnTo>
                  <a:pt x="7144" y="30956"/>
                </a:lnTo>
                <a:close/>
              </a:path>
            </a:pathLst>
          </a:custGeom>
          <a:solidFill>
            <a:srgbClr val="3AACE2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0" name="Freeform: Shape 369">
            <a:extLst>
              <a:ext uri="{FF2B5EF4-FFF2-40B4-BE49-F238E27FC236}">
                <a16:creationId xmlns:a16="http://schemas.microsoft.com/office/drawing/2014/main" id="{00000000-0008-0000-0000-000072010000}"/>
              </a:ext>
            </a:extLst>
          </xdr:cNvPr>
          <xdr:cNvSpPr/>
        </xdr:nvSpPr>
        <xdr:spPr>
          <a:xfrm>
            <a:off x="7061359" y="4555331"/>
            <a:ext cx="600075" cy="190500"/>
          </a:xfrm>
          <a:custGeom>
            <a:avLst/>
            <a:gdLst>
              <a:gd name="connsiteX0" fmla="*/ 595789 w 600075"/>
              <a:gd name="connsiteY0" fmla="*/ 153829 h 190500"/>
              <a:gd name="connsiteX1" fmla="*/ 595789 w 600075"/>
              <a:gd name="connsiteY1" fmla="*/ 7144 h 190500"/>
              <a:gd name="connsiteX2" fmla="*/ 7144 w 600075"/>
              <a:gd name="connsiteY2" fmla="*/ 7144 h 190500"/>
              <a:gd name="connsiteX3" fmla="*/ 7144 w 600075"/>
              <a:gd name="connsiteY3" fmla="*/ 90011 h 190500"/>
              <a:gd name="connsiteX4" fmla="*/ 7144 w 600075"/>
              <a:gd name="connsiteY4" fmla="*/ 154781 h 190500"/>
              <a:gd name="connsiteX5" fmla="*/ 7144 w 600075"/>
              <a:gd name="connsiteY5" fmla="*/ 167164 h 190500"/>
              <a:gd name="connsiteX6" fmla="*/ 33814 w 600075"/>
              <a:gd name="connsiteY6" fmla="*/ 180499 h 190500"/>
              <a:gd name="connsiteX7" fmla="*/ 58579 w 600075"/>
              <a:gd name="connsiteY7" fmla="*/ 190976 h 190500"/>
              <a:gd name="connsiteX8" fmla="*/ 83344 w 600075"/>
              <a:gd name="connsiteY8" fmla="*/ 180499 h 190500"/>
              <a:gd name="connsiteX9" fmla="*/ 119539 w 600075"/>
              <a:gd name="connsiteY9" fmla="*/ 166211 h 190500"/>
              <a:gd name="connsiteX10" fmla="*/ 155734 w 600075"/>
              <a:gd name="connsiteY10" fmla="*/ 180499 h 190500"/>
              <a:gd name="connsiteX11" fmla="*/ 180499 w 600075"/>
              <a:gd name="connsiteY11" fmla="*/ 190976 h 190500"/>
              <a:gd name="connsiteX12" fmla="*/ 205264 w 600075"/>
              <a:gd name="connsiteY12" fmla="*/ 180499 h 190500"/>
              <a:gd name="connsiteX13" fmla="*/ 241459 w 600075"/>
              <a:gd name="connsiteY13" fmla="*/ 166211 h 190500"/>
              <a:gd name="connsiteX14" fmla="*/ 277654 w 600075"/>
              <a:gd name="connsiteY14" fmla="*/ 180499 h 190500"/>
              <a:gd name="connsiteX15" fmla="*/ 302419 w 600075"/>
              <a:gd name="connsiteY15" fmla="*/ 190976 h 190500"/>
              <a:gd name="connsiteX16" fmla="*/ 327184 w 600075"/>
              <a:gd name="connsiteY16" fmla="*/ 180499 h 190500"/>
              <a:gd name="connsiteX17" fmla="*/ 363379 w 600075"/>
              <a:gd name="connsiteY17" fmla="*/ 166211 h 190500"/>
              <a:gd name="connsiteX18" fmla="*/ 399574 w 600075"/>
              <a:gd name="connsiteY18" fmla="*/ 180499 h 190500"/>
              <a:gd name="connsiteX19" fmla="*/ 424339 w 600075"/>
              <a:gd name="connsiteY19" fmla="*/ 190976 h 190500"/>
              <a:gd name="connsiteX20" fmla="*/ 449104 w 600075"/>
              <a:gd name="connsiteY20" fmla="*/ 180499 h 190500"/>
              <a:gd name="connsiteX21" fmla="*/ 485299 w 600075"/>
              <a:gd name="connsiteY21" fmla="*/ 166211 h 190500"/>
              <a:gd name="connsiteX22" fmla="*/ 521494 w 600075"/>
              <a:gd name="connsiteY22" fmla="*/ 180499 h 190500"/>
              <a:gd name="connsiteX23" fmla="*/ 546259 w 600075"/>
              <a:gd name="connsiteY23" fmla="*/ 190976 h 190500"/>
              <a:gd name="connsiteX24" fmla="*/ 571024 w 600075"/>
              <a:gd name="connsiteY24" fmla="*/ 180499 h 190500"/>
              <a:gd name="connsiteX25" fmla="*/ 597694 w 600075"/>
              <a:gd name="connsiteY25" fmla="*/ 167164 h 190500"/>
              <a:gd name="connsiteX26" fmla="*/ 597694 w 600075"/>
              <a:gd name="connsiteY26" fmla="*/ 167164 h 190500"/>
              <a:gd name="connsiteX27" fmla="*/ 595789 w 600075"/>
              <a:gd name="connsiteY27" fmla="*/ 153829 h 190500"/>
              <a:gd name="connsiteX28" fmla="*/ 595789 w 600075"/>
              <a:gd name="connsiteY28" fmla="*/ 153829 h 190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</a:cxnLst>
            <a:rect l="l" t="t" r="r" b="b"/>
            <a:pathLst>
              <a:path w="600075" h="190500">
                <a:moveTo>
                  <a:pt x="595789" y="153829"/>
                </a:moveTo>
                <a:lnTo>
                  <a:pt x="595789" y="7144"/>
                </a:lnTo>
                <a:lnTo>
                  <a:pt x="7144" y="7144"/>
                </a:lnTo>
                <a:lnTo>
                  <a:pt x="7144" y="90011"/>
                </a:lnTo>
                <a:lnTo>
                  <a:pt x="7144" y="154781"/>
                </a:lnTo>
                <a:lnTo>
                  <a:pt x="7144" y="167164"/>
                </a:lnTo>
                <a:cubicBezTo>
                  <a:pt x="19526" y="169069"/>
                  <a:pt x="27146" y="175736"/>
                  <a:pt x="33814" y="180499"/>
                </a:cubicBezTo>
                <a:cubicBezTo>
                  <a:pt x="40481" y="186214"/>
                  <a:pt x="46196" y="190976"/>
                  <a:pt x="58579" y="190976"/>
                </a:cubicBezTo>
                <a:cubicBezTo>
                  <a:pt x="70009" y="190976"/>
                  <a:pt x="75724" y="186214"/>
                  <a:pt x="83344" y="180499"/>
                </a:cubicBezTo>
                <a:cubicBezTo>
                  <a:pt x="90964" y="173831"/>
                  <a:pt x="101441" y="166211"/>
                  <a:pt x="119539" y="166211"/>
                </a:cubicBezTo>
                <a:cubicBezTo>
                  <a:pt x="137636" y="166211"/>
                  <a:pt x="148114" y="173831"/>
                  <a:pt x="155734" y="180499"/>
                </a:cubicBezTo>
                <a:cubicBezTo>
                  <a:pt x="162401" y="186214"/>
                  <a:pt x="168116" y="190976"/>
                  <a:pt x="180499" y="190976"/>
                </a:cubicBezTo>
                <a:cubicBezTo>
                  <a:pt x="192881" y="190976"/>
                  <a:pt x="197644" y="186214"/>
                  <a:pt x="205264" y="180499"/>
                </a:cubicBezTo>
                <a:cubicBezTo>
                  <a:pt x="212884" y="173831"/>
                  <a:pt x="223361" y="166211"/>
                  <a:pt x="241459" y="166211"/>
                </a:cubicBezTo>
                <a:cubicBezTo>
                  <a:pt x="259556" y="166211"/>
                  <a:pt x="270034" y="173831"/>
                  <a:pt x="277654" y="180499"/>
                </a:cubicBezTo>
                <a:cubicBezTo>
                  <a:pt x="284321" y="186214"/>
                  <a:pt x="290036" y="190976"/>
                  <a:pt x="302419" y="190976"/>
                </a:cubicBezTo>
                <a:cubicBezTo>
                  <a:pt x="313849" y="190976"/>
                  <a:pt x="319564" y="186214"/>
                  <a:pt x="327184" y="180499"/>
                </a:cubicBezTo>
                <a:cubicBezTo>
                  <a:pt x="334804" y="173831"/>
                  <a:pt x="345281" y="166211"/>
                  <a:pt x="363379" y="166211"/>
                </a:cubicBezTo>
                <a:cubicBezTo>
                  <a:pt x="381476" y="166211"/>
                  <a:pt x="391954" y="173831"/>
                  <a:pt x="399574" y="180499"/>
                </a:cubicBezTo>
                <a:cubicBezTo>
                  <a:pt x="406241" y="186214"/>
                  <a:pt x="411956" y="190976"/>
                  <a:pt x="424339" y="190976"/>
                </a:cubicBezTo>
                <a:cubicBezTo>
                  <a:pt x="435769" y="190976"/>
                  <a:pt x="441484" y="186214"/>
                  <a:pt x="449104" y="180499"/>
                </a:cubicBezTo>
                <a:cubicBezTo>
                  <a:pt x="456724" y="173831"/>
                  <a:pt x="467201" y="166211"/>
                  <a:pt x="485299" y="166211"/>
                </a:cubicBezTo>
                <a:cubicBezTo>
                  <a:pt x="503396" y="166211"/>
                  <a:pt x="513874" y="173831"/>
                  <a:pt x="521494" y="180499"/>
                </a:cubicBezTo>
                <a:cubicBezTo>
                  <a:pt x="528161" y="186214"/>
                  <a:pt x="533876" y="190976"/>
                  <a:pt x="546259" y="190976"/>
                </a:cubicBezTo>
                <a:cubicBezTo>
                  <a:pt x="557689" y="190976"/>
                  <a:pt x="563404" y="186214"/>
                  <a:pt x="571024" y="180499"/>
                </a:cubicBezTo>
                <a:cubicBezTo>
                  <a:pt x="577691" y="175736"/>
                  <a:pt x="585311" y="169069"/>
                  <a:pt x="597694" y="167164"/>
                </a:cubicBezTo>
                <a:lnTo>
                  <a:pt x="597694" y="167164"/>
                </a:lnTo>
                <a:lnTo>
                  <a:pt x="595789" y="153829"/>
                </a:lnTo>
                <a:lnTo>
                  <a:pt x="595789" y="153829"/>
                </a:lnTo>
                <a:close/>
              </a:path>
            </a:pathLst>
          </a:custGeom>
          <a:solidFill>
            <a:srgbClr val="EDAA20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1" name="Freeform: Shape 370">
            <a:extLst>
              <a:ext uri="{FF2B5EF4-FFF2-40B4-BE49-F238E27FC236}">
                <a16:creationId xmlns:a16="http://schemas.microsoft.com/office/drawing/2014/main" id="{00000000-0008-0000-0000-000073010000}"/>
              </a:ext>
            </a:extLst>
          </xdr:cNvPr>
          <xdr:cNvSpPr/>
        </xdr:nvSpPr>
        <xdr:spPr>
          <a:xfrm>
            <a:off x="7039451" y="4461033"/>
            <a:ext cx="638175" cy="238125"/>
          </a:xfrm>
          <a:custGeom>
            <a:avLst/>
            <a:gdLst>
              <a:gd name="connsiteX0" fmla="*/ 631984 w 638175"/>
              <a:gd name="connsiteY0" fmla="*/ 150019 h 238125"/>
              <a:gd name="connsiteX1" fmla="*/ 600551 w 638175"/>
              <a:gd name="connsiteY1" fmla="*/ 168116 h 238125"/>
              <a:gd name="connsiteX2" fmla="*/ 576739 w 638175"/>
              <a:gd name="connsiteY2" fmla="*/ 170974 h 238125"/>
              <a:gd name="connsiteX3" fmla="*/ 563404 w 638175"/>
              <a:gd name="connsiteY3" fmla="*/ 183356 h 238125"/>
              <a:gd name="connsiteX4" fmla="*/ 556736 w 638175"/>
              <a:gd name="connsiteY4" fmla="*/ 194786 h 238125"/>
              <a:gd name="connsiteX5" fmla="*/ 534829 w 638175"/>
              <a:gd name="connsiteY5" fmla="*/ 215741 h 238125"/>
              <a:gd name="connsiteX6" fmla="*/ 534829 w 638175"/>
              <a:gd name="connsiteY6" fmla="*/ 215741 h 238125"/>
              <a:gd name="connsiteX7" fmla="*/ 509111 w 638175"/>
              <a:gd name="connsiteY7" fmla="*/ 194786 h 238125"/>
              <a:gd name="connsiteX8" fmla="*/ 502444 w 638175"/>
              <a:gd name="connsiteY8" fmla="*/ 174784 h 238125"/>
              <a:gd name="connsiteX9" fmla="*/ 479584 w 638175"/>
              <a:gd name="connsiteY9" fmla="*/ 132874 h 238125"/>
              <a:gd name="connsiteX10" fmla="*/ 422434 w 638175"/>
              <a:gd name="connsiteY10" fmla="*/ 139541 h 238125"/>
              <a:gd name="connsiteX11" fmla="*/ 398621 w 638175"/>
              <a:gd name="connsiteY11" fmla="*/ 185261 h 238125"/>
              <a:gd name="connsiteX12" fmla="*/ 343376 w 638175"/>
              <a:gd name="connsiteY12" fmla="*/ 236696 h 238125"/>
              <a:gd name="connsiteX13" fmla="*/ 302419 w 638175"/>
              <a:gd name="connsiteY13" fmla="*/ 209074 h 238125"/>
              <a:gd name="connsiteX14" fmla="*/ 294799 w 638175"/>
              <a:gd name="connsiteY14" fmla="*/ 190976 h 238125"/>
              <a:gd name="connsiteX15" fmla="*/ 271939 w 638175"/>
              <a:gd name="connsiteY15" fmla="*/ 152876 h 238125"/>
              <a:gd name="connsiteX16" fmla="*/ 249079 w 638175"/>
              <a:gd name="connsiteY16" fmla="*/ 143351 h 238125"/>
              <a:gd name="connsiteX17" fmla="*/ 239554 w 638175"/>
              <a:gd name="connsiteY17" fmla="*/ 145256 h 238125"/>
              <a:gd name="connsiteX18" fmla="*/ 208121 w 638175"/>
              <a:gd name="connsiteY18" fmla="*/ 185261 h 238125"/>
              <a:gd name="connsiteX19" fmla="*/ 206216 w 638175"/>
              <a:gd name="connsiteY19" fmla="*/ 191929 h 238125"/>
              <a:gd name="connsiteX20" fmla="*/ 196691 w 638175"/>
              <a:gd name="connsiteY20" fmla="*/ 218599 h 238125"/>
              <a:gd name="connsiteX21" fmla="*/ 179546 w 638175"/>
              <a:gd name="connsiteY21" fmla="*/ 225266 h 238125"/>
              <a:gd name="connsiteX22" fmla="*/ 158591 w 638175"/>
              <a:gd name="connsiteY22" fmla="*/ 215741 h 238125"/>
              <a:gd name="connsiteX23" fmla="*/ 147161 w 638175"/>
              <a:gd name="connsiteY23" fmla="*/ 177641 h 238125"/>
              <a:gd name="connsiteX24" fmla="*/ 127159 w 638175"/>
              <a:gd name="connsiteY24" fmla="*/ 125254 h 238125"/>
              <a:gd name="connsiteX25" fmla="*/ 112871 w 638175"/>
              <a:gd name="connsiteY25" fmla="*/ 116681 h 238125"/>
              <a:gd name="connsiteX26" fmla="*/ 78581 w 638175"/>
              <a:gd name="connsiteY26" fmla="*/ 129064 h 238125"/>
              <a:gd name="connsiteX27" fmla="*/ 67151 w 638175"/>
              <a:gd name="connsiteY27" fmla="*/ 149066 h 238125"/>
              <a:gd name="connsiteX28" fmla="*/ 54769 w 638175"/>
              <a:gd name="connsiteY28" fmla="*/ 167164 h 238125"/>
              <a:gd name="connsiteX29" fmla="*/ 30004 w 638175"/>
              <a:gd name="connsiteY29" fmla="*/ 169069 h 238125"/>
              <a:gd name="connsiteX30" fmla="*/ 7144 w 638175"/>
              <a:gd name="connsiteY30" fmla="*/ 134779 h 238125"/>
              <a:gd name="connsiteX31" fmla="*/ 7144 w 638175"/>
              <a:gd name="connsiteY31" fmla="*/ 70961 h 238125"/>
              <a:gd name="connsiteX32" fmla="*/ 70961 w 638175"/>
              <a:gd name="connsiteY32" fmla="*/ 7144 h 238125"/>
              <a:gd name="connsiteX33" fmla="*/ 572929 w 638175"/>
              <a:gd name="connsiteY33" fmla="*/ 7144 h 238125"/>
              <a:gd name="connsiteX34" fmla="*/ 636746 w 638175"/>
              <a:gd name="connsiteY34" fmla="*/ 70961 h 238125"/>
              <a:gd name="connsiteX35" fmla="*/ 637699 w 638175"/>
              <a:gd name="connsiteY35" fmla="*/ 91916 h 238125"/>
              <a:gd name="connsiteX36" fmla="*/ 631984 w 638175"/>
              <a:gd name="connsiteY36" fmla="*/ 150019 h 2381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</a:cxnLst>
            <a:rect l="l" t="t" r="r" b="b"/>
            <a:pathLst>
              <a:path w="638175" h="238125">
                <a:moveTo>
                  <a:pt x="631984" y="150019"/>
                </a:moveTo>
                <a:cubicBezTo>
                  <a:pt x="626269" y="162401"/>
                  <a:pt x="614839" y="169069"/>
                  <a:pt x="600551" y="168116"/>
                </a:cubicBezTo>
                <a:cubicBezTo>
                  <a:pt x="593884" y="168116"/>
                  <a:pt x="585311" y="167164"/>
                  <a:pt x="576739" y="170974"/>
                </a:cubicBezTo>
                <a:cubicBezTo>
                  <a:pt x="571976" y="172879"/>
                  <a:pt x="567214" y="176689"/>
                  <a:pt x="563404" y="183356"/>
                </a:cubicBezTo>
                <a:cubicBezTo>
                  <a:pt x="560546" y="187166"/>
                  <a:pt x="558642" y="190976"/>
                  <a:pt x="556736" y="194786"/>
                </a:cubicBezTo>
                <a:cubicBezTo>
                  <a:pt x="550069" y="207169"/>
                  <a:pt x="545306" y="215741"/>
                  <a:pt x="534829" y="215741"/>
                </a:cubicBezTo>
                <a:cubicBezTo>
                  <a:pt x="534829" y="215741"/>
                  <a:pt x="534829" y="215741"/>
                  <a:pt x="534829" y="215741"/>
                </a:cubicBezTo>
                <a:cubicBezTo>
                  <a:pt x="523399" y="215741"/>
                  <a:pt x="513874" y="204311"/>
                  <a:pt x="509111" y="194786"/>
                </a:cubicBezTo>
                <a:cubicBezTo>
                  <a:pt x="506254" y="189071"/>
                  <a:pt x="504349" y="182404"/>
                  <a:pt x="502444" y="174784"/>
                </a:cubicBezTo>
                <a:cubicBezTo>
                  <a:pt x="497681" y="160496"/>
                  <a:pt x="492919" y="144304"/>
                  <a:pt x="479584" y="132874"/>
                </a:cubicBezTo>
                <a:cubicBezTo>
                  <a:pt x="462439" y="118586"/>
                  <a:pt x="439579" y="121444"/>
                  <a:pt x="422434" y="139541"/>
                </a:cubicBezTo>
                <a:cubicBezTo>
                  <a:pt x="411004" y="151924"/>
                  <a:pt x="405289" y="169069"/>
                  <a:pt x="398621" y="185261"/>
                </a:cubicBezTo>
                <a:cubicBezTo>
                  <a:pt x="385286" y="218599"/>
                  <a:pt x="375761" y="239554"/>
                  <a:pt x="343376" y="236696"/>
                </a:cubicBezTo>
                <a:cubicBezTo>
                  <a:pt x="326231" y="234791"/>
                  <a:pt x="310991" y="224314"/>
                  <a:pt x="302419" y="209074"/>
                </a:cubicBezTo>
                <a:cubicBezTo>
                  <a:pt x="299561" y="203359"/>
                  <a:pt x="296704" y="197644"/>
                  <a:pt x="294799" y="190976"/>
                </a:cubicBezTo>
                <a:cubicBezTo>
                  <a:pt x="289084" y="177641"/>
                  <a:pt x="284321" y="163354"/>
                  <a:pt x="271939" y="152876"/>
                </a:cubicBezTo>
                <a:cubicBezTo>
                  <a:pt x="265271" y="147161"/>
                  <a:pt x="256699" y="143351"/>
                  <a:pt x="249079" y="143351"/>
                </a:cubicBezTo>
                <a:cubicBezTo>
                  <a:pt x="246221" y="143351"/>
                  <a:pt x="242411" y="144304"/>
                  <a:pt x="239554" y="145256"/>
                </a:cubicBezTo>
                <a:cubicBezTo>
                  <a:pt x="222409" y="150971"/>
                  <a:pt x="210979" y="170021"/>
                  <a:pt x="208121" y="185261"/>
                </a:cubicBezTo>
                <a:cubicBezTo>
                  <a:pt x="207169" y="187166"/>
                  <a:pt x="207169" y="190024"/>
                  <a:pt x="206216" y="191929"/>
                </a:cubicBezTo>
                <a:cubicBezTo>
                  <a:pt x="204311" y="202406"/>
                  <a:pt x="202406" y="211931"/>
                  <a:pt x="196691" y="218599"/>
                </a:cubicBezTo>
                <a:cubicBezTo>
                  <a:pt x="192881" y="223361"/>
                  <a:pt x="187166" y="225266"/>
                  <a:pt x="179546" y="225266"/>
                </a:cubicBezTo>
                <a:cubicBezTo>
                  <a:pt x="171926" y="225266"/>
                  <a:pt x="163354" y="221456"/>
                  <a:pt x="158591" y="215741"/>
                </a:cubicBezTo>
                <a:cubicBezTo>
                  <a:pt x="150019" y="206216"/>
                  <a:pt x="149066" y="191929"/>
                  <a:pt x="147161" y="177641"/>
                </a:cubicBezTo>
                <a:cubicBezTo>
                  <a:pt x="145256" y="160496"/>
                  <a:pt x="142399" y="140494"/>
                  <a:pt x="127159" y="125254"/>
                </a:cubicBezTo>
                <a:cubicBezTo>
                  <a:pt x="122396" y="121444"/>
                  <a:pt x="117634" y="118586"/>
                  <a:pt x="112871" y="116681"/>
                </a:cubicBezTo>
                <a:cubicBezTo>
                  <a:pt x="101441" y="113824"/>
                  <a:pt x="88106" y="118586"/>
                  <a:pt x="78581" y="129064"/>
                </a:cubicBezTo>
                <a:cubicBezTo>
                  <a:pt x="72866" y="135731"/>
                  <a:pt x="70009" y="142399"/>
                  <a:pt x="67151" y="149066"/>
                </a:cubicBezTo>
                <a:cubicBezTo>
                  <a:pt x="63341" y="156686"/>
                  <a:pt x="60484" y="162401"/>
                  <a:pt x="54769" y="167164"/>
                </a:cubicBezTo>
                <a:cubicBezTo>
                  <a:pt x="45244" y="174784"/>
                  <a:pt x="35719" y="171926"/>
                  <a:pt x="30004" y="169069"/>
                </a:cubicBezTo>
                <a:cubicBezTo>
                  <a:pt x="17621" y="162401"/>
                  <a:pt x="7144" y="148114"/>
                  <a:pt x="7144" y="134779"/>
                </a:cubicBezTo>
                <a:lnTo>
                  <a:pt x="7144" y="70961"/>
                </a:lnTo>
                <a:cubicBezTo>
                  <a:pt x="7144" y="35719"/>
                  <a:pt x="35719" y="7144"/>
                  <a:pt x="70961" y="7144"/>
                </a:cubicBezTo>
                <a:lnTo>
                  <a:pt x="572929" y="7144"/>
                </a:lnTo>
                <a:cubicBezTo>
                  <a:pt x="608171" y="7144"/>
                  <a:pt x="636746" y="35719"/>
                  <a:pt x="636746" y="70961"/>
                </a:cubicBezTo>
                <a:cubicBezTo>
                  <a:pt x="636746" y="77629"/>
                  <a:pt x="636746" y="85249"/>
                  <a:pt x="637699" y="91916"/>
                </a:cubicBezTo>
                <a:cubicBezTo>
                  <a:pt x="637699" y="110966"/>
                  <a:pt x="639604" y="134779"/>
                  <a:pt x="631984" y="150019"/>
                </a:cubicBezTo>
                <a:close/>
              </a:path>
            </a:pathLst>
          </a:custGeom>
          <a:solidFill>
            <a:srgbClr val="EF4343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2" name="Freeform: Shape 371">
            <a:extLst>
              <a:ext uri="{FF2B5EF4-FFF2-40B4-BE49-F238E27FC236}">
                <a16:creationId xmlns:a16="http://schemas.microsoft.com/office/drawing/2014/main" id="{00000000-0008-0000-0000-000074010000}"/>
              </a:ext>
            </a:extLst>
          </xdr:cNvPr>
          <xdr:cNvSpPr/>
        </xdr:nvSpPr>
        <xdr:spPr>
          <a:xfrm>
            <a:off x="7061359" y="4772501"/>
            <a:ext cx="600075" cy="76200"/>
          </a:xfrm>
          <a:custGeom>
            <a:avLst/>
            <a:gdLst>
              <a:gd name="connsiteX0" fmla="*/ 548164 w 600075"/>
              <a:gd name="connsiteY0" fmla="*/ 74771 h 76200"/>
              <a:gd name="connsiteX1" fmla="*/ 54769 w 600075"/>
              <a:gd name="connsiteY1" fmla="*/ 74771 h 76200"/>
              <a:gd name="connsiteX2" fmla="*/ 7144 w 600075"/>
              <a:gd name="connsiteY2" fmla="*/ 27146 h 76200"/>
              <a:gd name="connsiteX3" fmla="*/ 7144 w 600075"/>
              <a:gd name="connsiteY3" fmla="*/ 9049 h 76200"/>
              <a:gd name="connsiteX4" fmla="*/ 22384 w 600075"/>
              <a:gd name="connsiteY4" fmla="*/ 17621 h 76200"/>
              <a:gd name="connsiteX5" fmla="*/ 58579 w 600075"/>
              <a:gd name="connsiteY5" fmla="*/ 31909 h 76200"/>
              <a:gd name="connsiteX6" fmla="*/ 94774 w 600075"/>
              <a:gd name="connsiteY6" fmla="*/ 17621 h 76200"/>
              <a:gd name="connsiteX7" fmla="*/ 119539 w 600075"/>
              <a:gd name="connsiteY7" fmla="*/ 7144 h 76200"/>
              <a:gd name="connsiteX8" fmla="*/ 144304 w 600075"/>
              <a:gd name="connsiteY8" fmla="*/ 17621 h 76200"/>
              <a:gd name="connsiteX9" fmla="*/ 180499 w 600075"/>
              <a:gd name="connsiteY9" fmla="*/ 31909 h 76200"/>
              <a:gd name="connsiteX10" fmla="*/ 216694 w 600075"/>
              <a:gd name="connsiteY10" fmla="*/ 17621 h 76200"/>
              <a:gd name="connsiteX11" fmla="*/ 241459 w 600075"/>
              <a:gd name="connsiteY11" fmla="*/ 7144 h 76200"/>
              <a:gd name="connsiteX12" fmla="*/ 266224 w 600075"/>
              <a:gd name="connsiteY12" fmla="*/ 17621 h 76200"/>
              <a:gd name="connsiteX13" fmla="*/ 302419 w 600075"/>
              <a:gd name="connsiteY13" fmla="*/ 31909 h 76200"/>
              <a:gd name="connsiteX14" fmla="*/ 338614 w 600075"/>
              <a:gd name="connsiteY14" fmla="*/ 17621 h 76200"/>
              <a:gd name="connsiteX15" fmla="*/ 363379 w 600075"/>
              <a:gd name="connsiteY15" fmla="*/ 7144 h 76200"/>
              <a:gd name="connsiteX16" fmla="*/ 388144 w 600075"/>
              <a:gd name="connsiteY16" fmla="*/ 17621 h 76200"/>
              <a:gd name="connsiteX17" fmla="*/ 424339 w 600075"/>
              <a:gd name="connsiteY17" fmla="*/ 31909 h 76200"/>
              <a:gd name="connsiteX18" fmla="*/ 460534 w 600075"/>
              <a:gd name="connsiteY18" fmla="*/ 17621 h 76200"/>
              <a:gd name="connsiteX19" fmla="*/ 485299 w 600075"/>
              <a:gd name="connsiteY19" fmla="*/ 7144 h 76200"/>
              <a:gd name="connsiteX20" fmla="*/ 510064 w 600075"/>
              <a:gd name="connsiteY20" fmla="*/ 17621 h 76200"/>
              <a:gd name="connsiteX21" fmla="*/ 546259 w 600075"/>
              <a:gd name="connsiteY21" fmla="*/ 31909 h 76200"/>
              <a:gd name="connsiteX22" fmla="*/ 582454 w 600075"/>
              <a:gd name="connsiteY22" fmla="*/ 17621 h 76200"/>
              <a:gd name="connsiteX23" fmla="*/ 597694 w 600075"/>
              <a:gd name="connsiteY23" fmla="*/ 9049 h 76200"/>
              <a:gd name="connsiteX24" fmla="*/ 597694 w 600075"/>
              <a:gd name="connsiteY24" fmla="*/ 27146 h 76200"/>
              <a:gd name="connsiteX25" fmla="*/ 548164 w 600075"/>
              <a:gd name="connsiteY25" fmla="*/ 74771 h 762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</a:cxnLst>
            <a:rect l="l" t="t" r="r" b="b"/>
            <a:pathLst>
              <a:path w="600075" h="76200">
                <a:moveTo>
                  <a:pt x="548164" y="74771"/>
                </a:moveTo>
                <a:lnTo>
                  <a:pt x="54769" y="74771"/>
                </a:lnTo>
                <a:cubicBezTo>
                  <a:pt x="28099" y="74771"/>
                  <a:pt x="7144" y="53816"/>
                  <a:pt x="7144" y="27146"/>
                </a:cubicBezTo>
                <a:lnTo>
                  <a:pt x="7144" y="9049"/>
                </a:lnTo>
                <a:cubicBezTo>
                  <a:pt x="12859" y="10954"/>
                  <a:pt x="17621" y="13811"/>
                  <a:pt x="22384" y="17621"/>
                </a:cubicBezTo>
                <a:cubicBezTo>
                  <a:pt x="30004" y="24289"/>
                  <a:pt x="40481" y="31909"/>
                  <a:pt x="58579" y="31909"/>
                </a:cubicBezTo>
                <a:cubicBezTo>
                  <a:pt x="76676" y="31909"/>
                  <a:pt x="87154" y="24289"/>
                  <a:pt x="94774" y="17621"/>
                </a:cubicBezTo>
                <a:cubicBezTo>
                  <a:pt x="101441" y="11906"/>
                  <a:pt x="107156" y="7144"/>
                  <a:pt x="119539" y="7144"/>
                </a:cubicBezTo>
                <a:cubicBezTo>
                  <a:pt x="130969" y="7144"/>
                  <a:pt x="136684" y="11906"/>
                  <a:pt x="144304" y="17621"/>
                </a:cubicBezTo>
                <a:cubicBezTo>
                  <a:pt x="151924" y="24289"/>
                  <a:pt x="162401" y="31909"/>
                  <a:pt x="180499" y="31909"/>
                </a:cubicBezTo>
                <a:cubicBezTo>
                  <a:pt x="198596" y="31909"/>
                  <a:pt x="209074" y="24289"/>
                  <a:pt x="216694" y="17621"/>
                </a:cubicBezTo>
                <a:cubicBezTo>
                  <a:pt x="223361" y="11906"/>
                  <a:pt x="229076" y="7144"/>
                  <a:pt x="241459" y="7144"/>
                </a:cubicBezTo>
                <a:cubicBezTo>
                  <a:pt x="253841" y="7144"/>
                  <a:pt x="258604" y="11906"/>
                  <a:pt x="266224" y="17621"/>
                </a:cubicBezTo>
                <a:cubicBezTo>
                  <a:pt x="273844" y="24289"/>
                  <a:pt x="284321" y="31909"/>
                  <a:pt x="302419" y="31909"/>
                </a:cubicBezTo>
                <a:cubicBezTo>
                  <a:pt x="320516" y="31909"/>
                  <a:pt x="330994" y="24289"/>
                  <a:pt x="338614" y="17621"/>
                </a:cubicBezTo>
                <a:cubicBezTo>
                  <a:pt x="345281" y="11906"/>
                  <a:pt x="350996" y="7144"/>
                  <a:pt x="363379" y="7144"/>
                </a:cubicBezTo>
                <a:cubicBezTo>
                  <a:pt x="374809" y="7144"/>
                  <a:pt x="380524" y="11906"/>
                  <a:pt x="388144" y="17621"/>
                </a:cubicBezTo>
                <a:cubicBezTo>
                  <a:pt x="395764" y="24289"/>
                  <a:pt x="406241" y="31909"/>
                  <a:pt x="424339" y="31909"/>
                </a:cubicBezTo>
                <a:cubicBezTo>
                  <a:pt x="442436" y="31909"/>
                  <a:pt x="452914" y="24289"/>
                  <a:pt x="460534" y="17621"/>
                </a:cubicBezTo>
                <a:cubicBezTo>
                  <a:pt x="467201" y="11906"/>
                  <a:pt x="472916" y="7144"/>
                  <a:pt x="485299" y="7144"/>
                </a:cubicBezTo>
                <a:cubicBezTo>
                  <a:pt x="496729" y="7144"/>
                  <a:pt x="502444" y="11906"/>
                  <a:pt x="510064" y="17621"/>
                </a:cubicBezTo>
                <a:cubicBezTo>
                  <a:pt x="517684" y="24289"/>
                  <a:pt x="528161" y="31909"/>
                  <a:pt x="546259" y="31909"/>
                </a:cubicBezTo>
                <a:cubicBezTo>
                  <a:pt x="564356" y="31909"/>
                  <a:pt x="574834" y="24289"/>
                  <a:pt x="582454" y="17621"/>
                </a:cubicBezTo>
                <a:cubicBezTo>
                  <a:pt x="587216" y="13811"/>
                  <a:pt x="591026" y="10954"/>
                  <a:pt x="597694" y="9049"/>
                </a:cubicBezTo>
                <a:lnTo>
                  <a:pt x="597694" y="27146"/>
                </a:lnTo>
                <a:cubicBezTo>
                  <a:pt x="595789" y="52864"/>
                  <a:pt x="574834" y="74771"/>
                  <a:pt x="548164" y="74771"/>
                </a:cubicBezTo>
                <a:close/>
              </a:path>
            </a:pathLst>
          </a:custGeom>
          <a:solidFill>
            <a:srgbClr val="FFC717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3" name="Freeform: Shape 372">
            <a:extLst>
              <a:ext uri="{FF2B5EF4-FFF2-40B4-BE49-F238E27FC236}">
                <a16:creationId xmlns:a16="http://schemas.microsoft.com/office/drawing/2014/main" id="{00000000-0008-0000-0000-000075010000}"/>
              </a:ext>
            </a:extLst>
          </xdr:cNvPr>
          <xdr:cNvSpPr/>
        </xdr:nvSpPr>
        <xdr:spPr>
          <a:xfrm>
            <a:off x="7061359" y="4734401"/>
            <a:ext cx="600075" cy="57150"/>
          </a:xfrm>
          <a:custGeom>
            <a:avLst/>
            <a:gdLst>
              <a:gd name="connsiteX0" fmla="*/ 595789 w 600075"/>
              <a:gd name="connsiteY0" fmla="*/ 28099 h 57150"/>
              <a:gd name="connsiteX1" fmla="*/ 569119 w 600075"/>
              <a:gd name="connsiteY1" fmla="*/ 41434 h 57150"/>
              <a:gd name="connsiteX2" fmla="*/ 544354 w 600075"/>
              <a:gd name="connsiteY2" fmla="*/ 51911 h 57150"/>
              <a:gd name="connsiteX3" fmla="*/ 519589 w 600075"/>
              <a:gd name="connsiteY3" fmla="*/ 41434 h 57150"/>
              <a:gd name="connsiteX4" fmla="*/ 483394 w 600075"/>
              <a:gd name="connsiteY4" fmla="*/ 27146 h 57150"/>
              <a:gd name="connsiteX5" fmla="*/ 447199 w 600075"/>
              <a:gd name="connsiteY5" fmla="*/ 41434 h 57150"/>
              <a:gd name="connsiteX6" fmla="*/ 422434 w 600075"/>
              <a:gd name="connsiteY6" fmla="*/ 51911 h 57150"/>
              <a:gd name="connsiteX7" fmla="*/ 397669 w 600075"/>
              <a:gd name="connsiteY7" fmla="*/ 41434 h 57150"/>
              <a:gd name="connsiteX8" fmla="*/ 361474 w 600075"/>
              <a:gd name="connsiteY8" fmla="*/ 27146 h 57150"/>
              <a:gd name="connsiteX9" fmla="*/ 325279 w 600075"/>
              <a:gd name="connsiteY9" fmla="*/ 41434 h 57150"/>
              <a:gd name="connsiteX10" fmla="*/ 300514 w 600075"/>
              <a:gd name="connsiteY10" fmla="*/ 51911 h 57150"/>
              <a:gd name="connsiteX11" fmla="*/ 275749 w 600075"/>
              <a:gd name="connsiteY11" fmla="*/ 41434 h 57150"/>
              <a:gd name="connsiteX12" fmla="*/ 239554 w 600075"/>
              <a:gd name="connsiteY12" fmla="*/ 27146 h 57150"/>
              <a:gd name="connsiteX13" fmla="*/ 203359 w 600075"/>
              <a:gd name="connsiteY13" fmla="*/ 41434 h 57150"/>
              <a:gd name="connsiteX14" fmla="*/ 178594 w 600075"/>
              <a:gd name="connsiteY14" fmla="*/ 51911 h 57150"/>
              <a:gd name="connsiteX15" fmla="*/ 153829 w 600075"/>
              <a:gd name="connsiteY15" fmla="*/ 41434 h 57150"/>
              <a:gd name="connsiteX16" fmla="*/ 117634 w 600075"/>
              <a:gd name="connsiteY16" fmla="*/ 27146 h 57150"/>
              <a:gd name="connsiteX17" fmla="*/ 81439 w 600075"/>
              <a:gd name="connsiteY17" fmla="*/ 41434 h 57150"/>
              <a:gd name="connsiteX18" fmla="*/ 56674 w 600075"/>
              <a:gd name="connsiteY18" fmla="*/ 51911 h 57150"/>
              <a:gd name="connsiteX19" fmla="*/ 31909 w 600075"/>
              <a:gd name="connsiteY19" fmla="*/ 41434 h 57150"/>
              <a:gd name="connsiteX20" fmla="*/ 7144 w 600075"/>
              <a:gd name="connsiteY20" fmla="*/ 30004 h 57150"/>
              <a:gd name="connsiteX21" fmla="*/ 7144 w 600075"/>
              <a:gd name="connsiteY21" fmla="*/ 10001 h 57150"/>
              <a:gd name="connsiteX22" fmla="*/ 20479 w 600075"/>
              <a:gd name="connsiteY22" fmla="*/ 17621 h 57150"/>
              <a:gd name="connsiteX23" fmla="*/ 56674 w 600075"/>
              <a:gd name="connsiteY23" fmla="*/ 31909 h 57150"/>
              <a:gd name="connsiteX24" fmla="*/ 92869 w 600075"/>
              <a:gd name="connsiteY24" fmla="*/ 17621 h 57150"/>
              <a:gd name="connsiteX25" fmla="*/ 117634 w 600075"/>
              <a:gd name="connsiteY25" fmla="*/ 7144 h 57150"/>
              <a:gd name="connsiteX26" fmla="*/ 142399 w 600075"/>
              <a:gd name="connsiteY26" fmla="*/ 17621 h 57150"/>
              <a:gd name="connsiteX27" fmla="*/ 178594 w 600075"/>
              <a:gd name="connsiteY27" fmla="*/ 31909 h 57150"/>
              <a:gd name="connsiteX28" fmla="*/ 214789 w 600075"/>
              <a:gd name="connsiteY28" fmla="*/ 17621 h 57150"/>
              <a:gd name="connsiteX29" fmla="*/ 239554 w 600075"/>
              <a:gd name="connsiteY29" fmla="*/ 7144 h 57150"/>
              <a:gd name="connsiteX30" fmla="*/ 264319 w 600075"/>
              <a:gd name="connsiteY30" fmla="*/ 17621 h 57150"/>
              <a:gd name="connsiteX31" fmla="*/ 300514 w 600075"/>
              <a:gd name="connsiteY31" fmla="*/ 31909 h 57150"/>
              <a:gd name="connsiteX32" fmla="*/ 336709 w 600075"/>
              <a:gd name="connsiteY32" fmla="*/ 17621 h 57150"/>
              <a:gd name="connsiteX33" fmla="*/ 361474 w 600075"/>
              <a:gd name="connsiteY33" fmla="*/ 7144 h 57150"/>
              <a:gd name="connsiteX34" fmla="*/ 386239 w 600075"/>
              <a:gd name="connsiteY34" fmla="*/ 17621 h 57150"/>
              <a:gd name="connsiteX35" fmla="*/ 422434 w 600075"/>
              <a:gd name="connsiteY35" fmla="*/ 31909 h 57150"/>
              <a:gd name="connsiteX36" fmla="*/ 458629 w 600075"/>
              <a:gd name="connsiteY36" fmla="*/ 17621 h 57150"/>
              <a:gd name="connsiteX37" fmla="*/ 483394 w 600075"/>
              <a:gd name="connsiteY37" fmla="*/ 7144 h 57150"/>
              <a:gd name="connsiteX38" fmla="*/ 508159 w 600075"/>
              <a:gd name="connsiteY38" fmla="*/ 17621 h 57150"/>
              <a:gd name="connsiteX39" fmla="*/ 544354 w 600075"/>
              <a:gd name="connsiteY39" fmla="*/ 31909 h 57150"/>
              <a:gd name="connsiteX40" fmla="*/ 580549 w 600075"/>
              <a:gd name="connsiteY40" fmla="*/ 17621 h 57150"/>
              <a:gd name="connsiteX41" fmla="*/ 595789 w 600075"/>
              <a:gd name="connsiteY41" fmla="*/ 9049 h 57150"/>
              <a:gd name="connsiteX42" fmla="*/ 595789 w 600075"/>
              <a:gd name="connsiteY42" fmla="*/ 28099 h 57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</a:cxnLst>
            <a:rect l="l" t="t" r="r" b="b"/>
            <a:pathLst>
              <a:path w="600075" h="57150">
                <a:moveTo>
                  <a:pt x="595789" y="28099"/>
                </a:moveTo>
                <a:cubicBezTo>
                  <a:pt x="583406" y="30004"/>
                  <a:pt x="575786" y="36671"/>
                  <a:pt x="569119" y="41434"/>
                </a:cubicBezTo>
                <a:cubicBezTo>
                  <a:pt x="562451" y="47149"/>
                  <a:pt x="556736" y="51911"/>
                  <a:pt x="544354" y="51911"/>
                </a:cubicBezTo>
                <a:cubicBezTo>
                  <a:pt x="531971" y="51911"/>
                  <a:pt x="527209" y="47149"/>
                  <a:pt x="519589" y="41434"/>
                </a:cubicBezTo>
                <a:cubicBezTo>
                  <a:pt x="511969" y="34766"/>
                  <a:pt x="501491" y="27146"/>
                  <a:pt x="483394" y="27146"/>
                </a:cubicBezTo>
                <a:cubicBezTo>
                  <a:pt x="465296" y="27146"/>
                  <a:pt x="454819" y="34766"/>
                  <a:pt x="447199" y="41434"/>
                </a:cubicBezTo>
                <a:cubicBezTo>
                  <a:pt x="440531" y="47149"/>
                  <a:pt x="434816" y="51911"/>
                  <a:pt x="422434" y="51911"/>
                </a:cubicBezTo>
                <a:cubicBezTo>
                  <a:pt x="411004" y="51911"/>
                  <a:pt x="405289" y="47149"/>
                  <a:pt x="397669" y="41434"/>
                </a:cubicBezTo>
                <a:cubicBezTo>
                  <a:pt x="390049" y="34766"/>
                  <a:pt x="379571" y="27146"/>
                  <a:pt x="361474" y="27146"/>
                </a:cubicBezTo>
                <a:cubicBezTo>
                  <a:pt x="343376" y="27146"/>
                  <a:pt x="332899" y="34766"/>
                  <a:pt x="325279" y="41434"/>
                </a:cubicBezTo>
                <a:cubicBezTo>
                  <a:pt x="318611" y="47149"/>
                  <a:pt x="312896" y="51911"/>
                  <a:pt x="300514" y="51911"/>
                </a:cubicBezTo>
                <a:cubicBezTo>
                  <a:pt x="289084" y="51911"/>
                  <a:pt x="283369" y="47149"/>
                  <a:pt x="275749" y="41434"/>
                </a:cubicBezTo>
                <a:cubicBezTo>
                  <a:pt x="268129" y="34766"/>
                  <a:pt x="257651" y="27146"/>
                  <a:pt x="239554" y="27146"/>
                </a:cubicBezTo>
                <a:cubicBezTo>
                  <a:pt x="221456" y="27146"/>
                  <a:pt x="210979" y="34766"/>
                  <a:pt x="203359" y="41434"/>
                </a:cubicBezTo>
                <a:cubicBezTo>
                  <a:pt x="196691" y="47149"/>
                  <a:pt x="190976" y="51911"/>
                  <a:pt x="178594" y="51911"/>
                </a:cubicBezTo>
                <a:cubicBezTo>
                  <a:pt x="167164" y="51911"/>
                  <a:pt x="161449" y="47149"/>
                  <a:pt x="153829" y="41434"/>
                </a:cubicBezTo>
                <a:cubicBezTo>
                  <a:pt x="146209" y="34766"/>
                  <a:pt x="135731" y="27146"/>
                  <a:pt x="117634" y="27146"/>
                </a:cubicBezTo>
                <a:cubicBezTo>
                  <a:pt x="99536" y="27146"/>
                  <a:pt x="89059" y="34766"/>
                  <a:pt x="81439" y="41434"/>
                </a:cubicBezTo>
                <a:cubicBezTo>
                  <a:pt x="74771" y="47149"/>
                  <a:pt x="69056" y="51911"/>
                  <a:pt x="56674" y="51911"/>
                </a:cubicBezTo>
                <a:cubicBezTo>
                  <a:pt x="45244" y="51911"/>
                  <a:pt x="39529" y="47149"/>
                  <a:pt x="31909" y="41434"/>
                </a:cubicBezTo>
                <a:cubicBezTo>
                  <a:pt x="25241" y="36671"/>
                  <a:pt x="19526" y="31909"/>
                  <a:pt x="7144" y="30004"/>
                </a:cubicBezTo>
                <a:lnTo>
                  <a:pt x="7144" y="10001"/>
                </a:lnTo>
                <a:cubicBezTo>
                  <a:pt x="12859" y="11906"/>
                  <a:pt x="15716" y="12859"/>
                  <a:pt x="20479" y="17621"/>
                </a:cubicBezTo>
                <a:cubicBezTo>
                  <a:pt x="28099" y="24289"/>
                  <a:pt x="38576" y="31909"/>
                  <a:pt x="56674" y="31909"/>
                </a:cubicBezTo>
                <a:cubicBezTo>
                  <a:pt x="74771" y="31909"/>
                  <a:pt x="85249" y="24289"/>
                  <a:pt x="92869" y="17621"/>
                </a:cubicBezTo>
                <a:cubicBezTo>
                  <a:pt x="99536" y="11906"/>
                  <a:pt x="105251" y="7144"/>
                  <a:pt x="117634" y="7144"/>
                </a:cubicBezTo>
                <a:cubicBezTo>
                  <a:pt x="129064" y="7144"/>
                  <a:pt x="134779" y="11906"/>
                  <a:pt x="142399" y="17621"/>
                </a:cubicBezTo>
                <a:cubicBezTo>
                  <a:pt x="150019" y="24289"/>
                  <a:pt x="160496" y="31909"/>
                  <a:pt x="178594" y="31909"/>
                </a:cubicBezTo>
                <a:cubicBezTo>
                  <a:pt x="196691" y="31909"/>
                  <a:pt x="207169" y="24289"/>
                  <a:pt x="214789" y="17621"/>
                </a:cubicBezTo>
                <a:cubicBezTo>
                  <a:pt x="221456" y="11906"/>
                  <a:pt x="227171" y="7144"/>
                  <a:pt x="239554" y="7144"/>
                </a:cubicBezTo>
                <a:cubicBezTo>
                  <a:pt x="250984" y="7144"/>
                  <a:pt x="256699" y="11906"/>
                  <a:pt x="264319" y="17621"/>
                </a:cubicBezTo>
                <a:cubicBezTo>
                  <a:pt x="271939" y="24289"/>
                  <a:pt x="282416" y="31909"/>
                  <a:pt x="300514" y="31909"/>
                </a:cubicBezTo>
                <a:cubicBezTo>
                  <a:pt x="318611" y="31909"/>
                  <a:pt x="329089" y="24289"/>
                  <a:pt x="336709" y="17621"/>
                </a:cubicBezTo>
                <a:cubicBezTo>
                  <a:pt x="343376" y="11906"/>
                  <a:pt x="349091" y="7144"/>
                  <a:pt x="361474" y="7144"/>
                </a:cubicBezTo>
                <a:cubicBezTo>
                  <a:pt x="372904" y="7144"/>
                  <a:pt x="378619" y="11906"/>
                  <a:pt x="386239" y="17621"/>
                </a:cubicBezTo>
                <a:cubicBezTo>
                  <a:pt x="393859" y="24289"/>
                  <a:pt x="404336" y="31909"/>
                  <a:pt x="422434" y="31909"/>
                </a:cubicBezTo>
                <a:cubicBezTo>
                  <a:pt x="440531" y="31909"/>
                  <a:pt x="451009" y="24289"/>
                  <a:pt x="458629" y="17621"/>
                </a:cubicBezTo>
                <a:cubicBezTo>
                  <a:pt x="465296" y="11906"/>
                  <a:pt x="471011" y="7144"/>
                  <a:pt x="483394" y="7144"/>
                </a:cubicBezTo>
                <a:cubicBezTo>
                  <a:pt x="495776" y="7144"/>
                  <a:pt x="500539" y="11906"/>
                  <a:pt x="508159" y="17621"/>
                </a:cubicBezTo>
                <a:cubicBezTo>
                  <a:pt x="515779" y="24289"/>
                  <a:pt x="526256" y="31909"/>
                  <a:pt x="544354" y="31909"/>
                </a:cubicBezTo>
                <a:cubicBezTo>
                  <a:pt x="563404" y="31909"/>
                  <a:pt x="572929" y="24289"/>
                  <a:pt x="580549" y="17621"/>
                </a:cubicBezTo>
                <a:cubicBezTo>
                  <a:pt x="585311" y="13811"/>
                  <a:pt x="589121" y="10954"/>
                  <a:pt x="595789" y="9049"/>
                </a:cubicBezTo>
                <a:cubicBezTo>
                  <a:pt x="595789" y="7144"/>
                  <a:pt x="595789" y="28099"/>
                  <a:pt x="595789" y="28099"/>
                </a:cubicBezTo>
                <a:close/>
              </a:path>
            </a:pathLst>
          </a:custGeom>
          <a:solidFill>
            <a:srgbClr val="3AACE2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4" name="Freeform: Shape 373">
            <a:extLst>
              <a:ext uri="{FF2B5EF4-FFF2-40B4-BE49-F238E27FC236}">
                <a16:creationId xmlns:a16="http://schemas.microsoft.com/office/drawing/2014/main" id="{00000000-0008-0000-0000-000076010000}"/>
              </a:ext>
            </a:extLst>
          </xdr:cNvPr>
          <xdr:cNvSpPr/>
        </xdr:nvSpPr>
        <xdr:spPr>
          <a:xfrm>
            <a:off x="7105129" y="4503851"/>
            <a:ext cx="57150" cy="47625"/>
          </a:xfrm>
          <a:custGeom>
            <a:avLst/>
            <a:gdLst>
              <a:gd name="connsiteX0" fmla="*/ 22429 w 57150"/>
              <a:gd name="connsiteY0" fmla="*/ 9094 h 47625"/>
              <a:gd name="connsiteX1" fmla="*/ 9094 w 57150"/>
              <a:gd name="connsiteY1" fmla="*/ 10999 h 47625"/>
              <a:gd name="connsiteX2" fmla="*/ 10999 w 57150"/>
              <a:gd name="connsiteY2" fmla="*/ 24334 h 47625"/>
              <a:gd name="connsiteX3" fmla="*/ 35764 w 57150"/>
              <a:gd name="connsiteY3" fmla="*/ 44336 h 47625"/>
              <a:gd name="connsiteX4" fmla="*/ 41479 w 57150"/>
              <a:gd name="connsiteY4" fmla="*/ 46242 h 47625"/>
              <a:gd name="connsiteX5" fmla="*/ 49099 w 57150"/>
              <a:gd name="connsiteY5" fmla="*/ 42431 h 47625"/>
              <a:gd name="connsiteX6" fmla="*/ 47194 w 57150"/>
              <a:gd name="connsiteY6" fmla="*/ 29096 h 47625"/>
              <a:gd name="connsiteX7" fmla="*/ 22429 w 57150"/>
              <a:gd name="connsiteY7" fmla="*/ 9094 h 476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57150" h="47625">
                <a:moveTo>
                  <a:pt x="22429" y="9094"/>
                </a:moveTo>
                <a:cubicBezTo>
                  <a:pt x="18619" y="6236"/>
                  <a:pt x="11951" y="6236"/>
                  <a:pt x="9094" y="10999"/>
                </a:cubicBezTo>
                <a:cubicBezTo>
                  <a:pt x="6236" y="14809"/>
                  <a:pt x="6236" y="21476"/>
                  <a:pt x="10999" y="24334"/>
                </a:cubicBezTo>
                <a:lnTo>
                  <a:pt x="35764" y="44336"/>
                </a:lnTo>
                <a:cubicBezTo>
                  <a:pt x="37669" y="45289"/>
                  <a:pt x="39574" y="46242"/>
                  <a:pt x="41479" y="46242"/>
                </a:cubicBezTo>
                <a:cubicBezTo>
                  <a:pt x="44336" y="46242"/>
                  <a:pt x="47194" y="45289"/>
                  <a:pt x="49099" y="42431"/>
                </a:cubicBezTo>
                <a:cubicBezTo>
                  <a:pt x="51956" y="38621"/>
                  <a:pt x="51956" y="31954"/>
                  <a:pt x="47194" y="29096"/>
                </a:cubicBezTo>
                <a:lnTo>
                  <a:pt x="22429" y="9094"/>
                </a:ln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5" name="Freeform: Shape 374">
            <a:extLst>
              <a:ext uri="{FF2B5EF4-FFF2-40B4-BE49-F238E27FC236}">
                <a16:creationId xmlns:a16="http://schemas.microsoft.com/office/drawing/2014/main" id="{00000000-0008-0000-0000-000077010000}"/>
              </a:ext>
            </a:extLst>
          </xdr:cNvPr>
          <xdr:cNvSpPr/>
        </xdr:nvSpPr>
        <xdr:spPr>
          <a:xfrm>
            <a:off x="7196970" y="4554734"/>
            <a:ext cx="38100" cy="57150"/>
          </a:xfrm>
          <a:custGeom>
            <a:avLst/>
            <a:gdLst>
              <a:gd name="connsiteX0" fmla="*/ 31553 w 38100"/>
              <a:gd name="connsiteY0" fmla="*/ 7740 h 57150"/>
              <a:gd name="connsiteX1" fmla="*/ 19170 w 38100"/>
              <a:gd name="connsiteY1" fmla="*/ 13456 h 57150"/>
              <a:gd name="connsiteX2" fmla="*/ 7740 w 38100"/>
              <a:gd name="connsiteY2" fmla="*/ 43935 h 57150"/>
              <a:gd name="connsiteX3" fmla="*/ 13455 w 38100"/>
              <a:gd name="connsiteY3" fmla="*/ 56318 h 57150"/>
              <a:gd name="connsiteX4" fmla="*/ 17265 w 38100"/>
              <a:gd name="connsiteY4" fmla="*/ 57271 h 57150"/>
              <a:gd name="connsiteX5" fmla="*/ 25838 w 38100"/>
              <a:gd name="connsiteY5" fmla="*/ 51556 h 57150"/>
              <a:gd name="connsiteX6" fmla="*/ 37268 w 38100"/>
              <a:gd name="connsiteY6" fmla="*/ 21075 h 57150"/>
              <a:gd name="connsiteX7" fmla="*/ 31553 w 38100"/>
              <a:gd name="connsiteY7" fmla="*/ 7740 h 57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38100" h="57150">
                <a:moveTo>
                  <a:pt x="31553" y="7740"/>
                </a:moveTo>
                <a:cubicBezTo>
                  <a:pt x="26790" y="5835"/>
                  <a:pt x="21075" y="8693"/>
                  <a:pt x="19170" y="13456"/>
                </a:cubicBezTo>
                <a:lnTo>
                  <a:pt x="7740" y="43935"/>
                </a:lnTo>
                <a:cubicBezTo>
                  <a:pt x="5836" y="48698"/>
                  <a:pt x="8693" y="54413"/>
                  <a:pt x="13455" y="56318"/>
                </a:cubicBezTo>
                <a:cubicBezTo>
                  <a:pt x="14408" y="56318"/>
                  <a:pt x="15361" y="57271"/>
                  <a:pt x="17265" y="57271"/>
                </a:cubicBezTo>
                <a:cubicBezTo>
                  <a:pt x="21075" y="57271"/>
                  <a:pt x="24886" y="55365"/>
                  <a:pt x="25838" y="51556"/>
                </a:cubicBezTo>
                <a:lnTo>
                  <a:pt x="37268" y="21075"/>
                </a:lnTo>
                <a:cubicBezTo>
                  <a:pt x="39173" y="15360"/>
                  <a:pt x="36315" y="9646"/>
                  <a:pt x="31553" y="7740"/>
                </a:cubicBez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6" name="Freeform: Shape 375">
            <a:extLst>
              <a:ext uri="{FF2B5EF4-FFF2-40B4-BE49-F238E27FC236}">
                <a16:creationId xmlns:a16="http://schemas.microsoft.com/office/drawing/2014/main" id="{00000000-0008-0000-0000-000078010000}"/>
              </a:ext>
            </a:extLst>
          </xdr:cNvPr>
          <xdr:cNvSpPr/>
        </xdr:nvSpPr>
        <xdr:spPr>
          <a:xfrm>
            <a:off x="7305016" y="4513238"/>
            <a:ext cx="38100" cy="57150"/>
          </a:xfrm>
          <a:custGeom>
            <a:avLst/>
            <a:gdLst>
              <a:gd name="connsiteX0" fmla="*/ 25424 w 38100"/>
              <a:gd name="connsiteY0" fmla="*/ 13994 h 57150"/>
              <a:gd name="connsiteX1" fmla="*/ 13994 w 38100"/>
              <a:gd name="connsiteY1" fmla="*/ 7326 h 57150"/>
              <a:gd name="connsiteX2" fmla="*/ 7326 w 38100"/>
              <a:gd name="connsiteY2" fmla="*/ 18756 h 57150"/>
              <a:gd name="connsiteX3" fmla="*/ 15899 w 38100"/>
              <a:gd name="connsiteY3" fmla="*/ 49236 h 57150"/>
              <a:gd name="connsiteX4" fmla="*/ 25424 w 38100"/>
              <a:gd name="connsiteY4" fmla="*/ 55904 h 57150"/>
              <a:gd name="connsiteX5" fmla="*/ 28281 w 38100"/>
              <a:gd name="connsiteY5" fmla="*/ 55904 h 57150"/>
              <a:gd name="connsiteX6" fmla="*/ 34949 w 38100"/>
              <a:gd name="connsiteY6" fmla="*/ 44474 h 57150"/>
              <a:gd name="connsiteX7" fmla="*/ 25424 w 38100"/>
              <a:gd name="connsiteY7" fmla="*/ 13994 h 57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38100" h="57150">
                <a:moveTo>
                  <a:pt x="25424" y="13994"/>
                </a:moveTo>
                <a:cubicBezTo>
                  <a:pt x="23519" y="9231"/>
                  <a:pt x="18756" y="6374"/>
                  <a:pt x="13994" y="7326"/>
                </a:cubicBezTo>
                <a:cubicBezTo>
                  <a:pt x="9231" y="9231"/>
                  <a:pt x="6374" y="13994"/>
                  <a:pt x="7326" y="18756"/>
                </a:cubicBezTo>
                <a:lnTo>
                  <a:pt x="15899" y="49236"/>
                </a:lnTo>
                <a:cubicBezTo>
                  <a:pt x="16851" y="53046"/>
                  <a:pt x="20661" y="55904"/>
                  <a:pt x="25424" y="55904"/>
                </a:cubicBezTo>
                <a:cubicBezTo>
                  <a:pt x="26376" y="55904"/>
                  <a:pt x="27329" y="55904"/>
                  <a:pt x="28281" y="55904"/>
                </a:cubicBezTo>
                <a:cubicBezTo>
                  <a:pt x="33044" y="53999"/>
                  <a:pt x="35901" y="49236"/>
                  <a:pt x="34949" y="44474"/>
                </a:cubicBezTo>
                <a:lnTo>
                  <a:pt x="25424" y="13994"/>
                </a:ln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7" name="Freeform: Shape 376">
            <a:extLst>
              <a:ext uri="{FF2B5EF4-FFF2-40B4-BE49-F238E27FC236}">
                <a16:creationId xmlns:a16="http://schemas.microsoft.com/office/drawing/2014/main" id="{00000000-0008-0000-0000-000079010000}"/>
              </a:ext>
            </a:extLst>
          </xdr:cNvPr>
          <xdr:cNvSpPr/>
        </xdr:nvSpPr>
        <xdr:spPr>
          <a:xfrm>
            <a:off x="7386593" y="4536236"/>
            <a:ext cx="57150" cy="47625"/>
          </a:xfrm>
          <a:custGeom>
            <a:avLst/>
            <a:gdLst>
              <a:gd name="connsiteX0" fmla="*/ 35287 w 57150"/>
              <a:gd name="connsiteY0" fmla="*/ 9094 h 47625"/>
              <a:gd name="connsiteX1" fmla="*/ 10522 w 57150"/>
              <a:gd name="connsiteY1" fmla="*/ 30049 h 47625"/>
              <a:gd name="connsiteX2" fmla="*/ 9569 w 57150"/>
              <a:gd name="connsiteY2" fmla="*/ 43384 h 47625"/>
              <a:gd name="connsiteX3" fmla="*/ 17189 w 57150"/>
              <a:gd name="connsiteY3" fmla="*/ 47194 h 47625"/>
              <a:gd name="connsiteX4" fmla="*/ 22904 w 57150"/>
              <a:gd name="connsiteY4" fmla="*/ 45289 h 47625"/>
              <a:gd name="connsiteX5" fmla="*/ 47669 w 57150"/>
              <a:gd name="connsiteY5" fmla="*/ 24334 h 47625"/>
              <a:gd name="connsiteX6" fmla="*/ 48622 w 57150"/>
              <a:gd name="connsiteY6" fmla="*/ 10999 h 47625"/>
              <a:gd name="connsiteX7" fmla="*/ 35287 w 57150"/>
              <a:gd name="connsiteY7" fmla="*/ 9094 h 476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57150" h="47625">
                <a:moveTo>
                  <a:pt x="35287" y="9094"/>
                </a:moveTo>
                <a:lnTo>
                  <a:pt x="10522" y="30049"/>
                </a:lnTo>
                <a:cubicBezTo>
                  <a:pt x="6712" y="33859"/>
                  <a:pt x="5759" y="39574"/>
                  <a:pt x="9569" y="43384"/>
                </a:cubicBezTo>
                <a:cubicBezTo>
                  <a:pt x="11474" y="45289"/>
                  <a:pt x="14332" y="47194"/>
                  <a:pt x="17189" y="47194"/>
                </a:cubicBezTo>
                <a:cubicBezTo>
                  <a:pt x="19094" y="47194"/>
                  <a:pt x="20999" y="46241"/>
                  <a:pt x="22904" y="45289"/>
                </a:cubicBezTo>
                <a:lnTo>
                  <a:pt x="47669" y="24334"/>
                </a:lnTo>
                <a:cubicBezTo>
                  <a:pt x="51479" y="20524"/>
                  <a:pt x="52432" y="14809"/>
                  <a:pt x="48622" y="10999"/>
                </a:cubicBezTo>
                <a:cubicBezTo>
                  <a:pt x="45764" y="6236"/>
                  <a:pt x="39097" y="6236"/>
                  <a:pt x="35287" y="9094"/>
                </a:cubicBez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8" name="Freeform: Shape 377">
            <a:extLst>
              <a:ext uri="{FF2B5EF4-FFF2-40B4-BE49-F238E27FC236}">
                <a16:creationId xmlns:a16="http://schemas.microsoft.com/office/drawing/2014/main" id="{00000000-0008-0000-0000-00007A010000}"/>
              </a:ext>
            </a:extLst>
          </xdr:cNvPr>
          <xdr:cNvSpPr/>
        </xdr:nvSpPr>
        <xdr:spPr>
          <a:xfrm>
            <a:off x="7577836" y="4495546"/>
            <a:ext cx="38100" cy="57150"/>
          </a:xfrm>
          <a:custGeom>
            <a:avLst/>
            <a:gdLst>
              <a:gd name="connsiteX0" fmla="*/ 25019 w 38100"/>
              <a:gd name="connsiteY0" fmla="*/ 12636 h 57150"/>
              <a:gd name="connsiteX1" fmla="*/ 12636 w 38100"/>
              <a:gd name="connsiteY1" fmla="*/ 7874 h 57150"/>
              <a:gd name="connsiteX2" fmla="*/ 7874 w 38100"/>
              <a:gd name="connsiteY2" fmla="*/ 20256 h 57150"/>
              <a:gd name="connsiteX3" fmla="*/ 21209 w 38100"/>
              <a:gd name="connsiteY3" fmla="*/ 49784 h 57150"/>
              <a:gd name="connsiteX4" fmla="*/ 29781 w 38100"/>
              <a:gd name="connsiteY4" fmla="*/ 55499 h 57150"/>
              <a:gd name="connsiteX5" fmla="*/ 33591 w 38100"/>
              <a:gd name="connsiteY5" fmla="*/ 54546 h 57150"/>
              <a:gd name="connsiteX6" fmla="*/ 38354 w 38100"/>
              <a:gd name="connsiteY6" fmla="*/ 42164 h 57150"/>
              <a:gd name="connsiteX7" fmla="*/ 25019 w 38100"/>
              <a:gd name="connsiteY7" fmla="*/ 12636 h 57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38100" h="57150">
                <a:moveTo>
                  <a:pt x="25019" y="12636"/>
                </a:moveTo>
                <a:cubicBezTo>
                  <a:pt x="23114" y="7874"/>
                  <a:pt x="17399" y="5969"/>
                  <a:pt x="12636" y="7874"/>
                </a:cubicBezTo>
                <a:cubicBezTo>
                  <a:pt x="7874" y="9779"/>
                  <a:pt x="5969" y="15494"/>
                  <a:pt x="7874" y="20256"/>
                </a:cubicBezTo>
                <a:lnTo>
                  <a:pt x="21209" y="49784"/>
                </a:lnTo>
                <a:cubicBezTo>
                  <a:pt x="23114" y="53594"/>
                  <a:pt x="25971" y="55499"/>
                  <a:pt x="29781" y="55499"/>
                </a:cubicBezTo>
                <a:cubicBezTo>
                  <a:pt x="30734" y="55499"/>
                  <a:pt x="32639" y="55499"/>
                  <a:pt x="33591" y="54546"/>
                </a:cubicBezTo>
                <a:cubicBezTo>
                  <a:pt x="38354" y="52641"/>
                  <a:pt x="40259" y="46926"/>
                  <a:pt x="38354" y="42164"/>
                </a:cubicBezTo>
                <a:lnTo>
                  <a:pt x="25019" y="12636"/>
                </a:ln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9" name="Freeform: Shape 378">
            <a:extLst>
              <a:ext uri="{FF2B5EF4-FFF2-40B4-BE49-F238E27FC236}">
                <a16:creationId xmlns:a16="http://schemas.microsoft.com/office/drawing/2014/main" id="{00000000-0008-0000-0000-00007B010000}"/>
              </a:ext>
            </a:extLst>
          </xdr:cNvPr>
          <xdr:cNvSpPr/>
        </xdr:nvSpPr>
        <xdr:spPr>
          <a:xfrm>
            <a:off x="7561421" y="4573428"/>
            <a:ext cx="28575" cy="57150"/>
          </a:xfrm>
          <a:custGeom>
            <a:avLst/>
            <a:gdLst>
              <a:gd name="connsiteX0" fmla="*/ 15716 w 28575"/>
              <a:gd name="connsiteY0" fmla="*/ 7144 h 57150"/>
              <a:gd name="connsiteX1" fmla="*/ 7144 w 28575"/>
              <a:gd name="connsiteY1" fmla="*/ 17621 h 57150"/>
              <a:gd name="connsiteX2" fmla="*/ 10001 w 28575"/>
              <a:gd name="connsiteY2" fmla="*/ 50006 h 57150"/>
              <a:gd name="connsiteX3" fmla="*/ 19526 w 28575"/>
              <a:gd name="connsiteY3" fmla="*/ 58579 h 57150"/>
              <a:gd name="connsiteX4" fmla="*/ 20479 w 28575"/>
              <a:gd name="connsiteY4" fmla="*/ 58579 h 57150"/>
              <a:gd name="connsiteX5" fmla="*/ 29051 w 28575"/>
              <a:gd name="connsiteY5" fmla="*/ 48101 h 57150"/>
              <a:gd name="connsiteX6" fmla="*/ 26194 w 28575"/>
              <a:gd name="connsiteY6" fmla="*/ 15716 h 57150"/>
              <a:gd name="connsiteX7" fmla="*/ 15716 w 28575"/>
              <a:gd name="connsiteY7" fmla="*/ 7144 h 57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28575" h="57150">
                <a:moveTo>
                  <a:pt x="15716" y="7144"/>
                </a:moveTo>
                <a:cubicBezTo>
                  <a:pt x="10954" y="8096"/>
                  <a:pt x="7144" y="11906"/>
                  <a:pt x="7144" y="17621"/>
                </a:cubicBezTo>
                <a:lnTo>
                  <a:pt x="10001" y="50006"/>
                </a:lnTo>
                <a:cubicBezTo>
                  <a:pt x="10954" y="54769"/>
                  <a:pt x="14764" y="58579"/>
                  <a:pt x="19526" y="58579"/>
                </a:cubicBezTo>
                <a:cubicBezTo>
                  <a:pt x="19526" y="58579"/>
                  <a:pt x="20479" y="58579"/>
                  <a:pt x="20479" y="58579"/>
                </a:cubicBezTo>
                <a:cubicBezTo>
                  <a:pt x="26194" y="57626"/>
                  <a:pt x="30004" y="53816"/>
                  <a:pt x="29051" y="48101"/>
                </a:cubicBezTo>
                <a:lnTo>
                  <a:pt x="26194" y="15716"/>
                </a:lnTo>
                <a:cubicBezTo>
                  <a:pt x="25241" y="10954"/>
                  <a:pt x="20479" y="7144"/>
                  <a:pt x="15716" y="7144"/>
                </a:cubicBez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80" name="Freeform: Shape 379">
            <a:extLst>
              <a:ext uri="{FF2B5EF4-FFF2-40B4-BE49-F238E27FC236}">
                <a16:creationId xmlns:a16="http://schemas.microsoft.com/office/drawing/2014/main" id="{00000000-0008-0000-0000-00007C010000}"/>
              </a:ext>
            </a:extLst>
          </xdr:cNvPr>
          <xdr:cNvSpPr/>
        </xdr:nvSpPr>
        <xdr:spPr>
          <a:xfrm>
            <a:off x="7486206" y="4522978"/>
            <a:ext cx="47625" cy="57150"/>
          </a:xfrm>
          <a:custGeom>
            <a:avLst/>
            <a:gdLst>
              <a:gd name="connsiteX0" fmla="*/ 25209 w 47625"/>
              <a:gd name="connsiteY0" fmla="*/ 11874 h 57150"/>
              <a:gd name="connsiteX1" fmla="*/ 11874 w 47625"/>
              <a:gd name="connsiteY1" fmla="*/ 8064 h 57150"/>
              <a:gd name="connsiteX2" fmla="*/ 8063 w 47625"/>
              <a:gd name="connsiteY2" fmla="*/ 21399 h 57150"/>
              <a:gd name="connsiteX3" fmla="*/ 24256 w 47625"/>
              <a:gd name="connsiteY3" fmla="*/ 49021 h 57150"/>
              <a:gd name="connsiteX4" fmla="*/ 32829 w 47625"/>
              <a:gd name="connsiteY4" fmla="*/ 53784 h 57150"/>
              <a:gd name="connsiteX5" fmla="*/ 37591 w 47625"/>
              <a:gd name="connsiteY5" fmla="*/ 52831 h 57150"/>
              <a:gd name="connsiteX6" fmla="*/ 41401 w 47625"/>
              <a:gd name="connsiteY6" fmla="*/ 39496 h 57150"/>
              <a:gd name="connsiteX7" fmla="*/ 25209 w 47625"/>
              <a:gd name="connsiteY7" fmla="*/ 11874 h 57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47625" h="57150">
                <a:moveTo>
                  <a:pt x="25209" y="11874"/>
                </a:moveTo>
                <a:cubicBezTo>
                  <a:pt x="22351" y="7111"/>
                  <a:pt x="16636" y="6159"/>
                  <a:pt x="11874" y="8064"/>
                </a:cubicBezTo>
                <a:cubicBezTo>
                  <a:pt x="7111" y="10921"/>
                  <a:pt x="6159" y="16636"/>
                  <a:pt x="8063" y="21399"/>
                </a:cubicBezTo>
                <a:lnTo>
                  <a:pt x="24256" y="49021"/>
                </a:lnTo>
                <a:cubicBezTo>
                  <a:pt x="26161" y="51878"/>
                  <a:pt x="29019" y="53784"/>
                  <a:pt x="32829" y="53784"/>
                </a:cubicBezTo>
                <a:cubicBezTo>
                  <a:pt x="34734" y="53784"/>
                  <a:pt x="35686" y="53784"/>
                  <a:pt x="37591" y="52831"/>
                </a:cubicBezTo>
                <a:cubicBezTo>
                  <a:pt x="42354" y="49974"/>
                  <a:pt x="43306" y="44259"/>
                  <a:pt x="41401" y="39496"/>
                </a:cubicBezTo>
                <a:lnTo>
                  <a:pt x="25209" y="11874"/>
                </a:ln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81" name="Freeform: Shape 380">
            <a:extLst>
              <a:ext uri="{FF2B5EF4-FFF2-40B4-BE49-F238E27FC236}">
                <a16:creationId xmlns:a16="http://schemas.microsoft.com/office/drawing/2014/main" id="{00000000-0008-0000-0000-00007D010000}"/>
              </a:ext>
            </a:extLst>
          </xdr:cNvPr>
          <xdr:cNvSpPr/>
        </xdr:nvSpPr>
        <xdr:spPr>
          <a:xfrm>
            <a:off x="7062311" y="4557236"/>
            <a:ext cx="28575" cy="28575"/>
          </a:xfrm>
          <a:custGeom>
            <a:avLst/>
            <a:gdLst>
              <a:gd name="connsiteX0" fmla="*/ 30004 w 28575"/>
              <a:gd name="connsiteY0" fmla="*/ 18574 h 28575"/>
              <a:gd name="connsiteX1" fmla="*/ 18574 w 28575"/>
              <a:gd name="connsiteY1" fmla="*/ 30004 h 28575"/>
              <a:gd name="connsiteX2" fmla="*/ 7144 w 28575"/>
              <a:gd name="connsiteY2" fmla="*/ 18574 h 28575"/>
              <a:gd name="connsiteX3" fmla="*/ 18574 w 28575"/>
              <a:gd name="connsiteY3" fmla="*/ 7144 h 28575"/>
              <a:gd name="connsiteX4" fmla="*/ 30004 w 28575"/>
              <a:gd name="connsiteY4" fmla="*/ 18574 h 285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8575" h="28575">
                <a:moveTo>
                  <a:pt x="30004" y="18574"/>
                </a:moveTo>
                <a:cubicBezTo>
                  <a:pt x="30004" y="24886"/>
                  <a:pt x="24886" y="30004"/>
                  <a:pt x="18574" y="30004"/>
                </a:cubicBezTo>
                <a:cubicBezTo>
                  <a:pt x="12261" y="30004"/>
                  <a:pt x="7144" y="24886"/>
                  <a:pt x="7144" y="18574"/>
                </a:cubicBezTo>
                <a:cubicBezTo>
                  <a:pt x="7144" y="12261"/>
                  <a:pt x="12261" y="7144"/>
                  <a:pt x="18574" y="7144"/>
                </a:cubicBezTo>
                <a:cubicBezTo>
                  <a:pt x="24886" y="7144"/>
                  <a:pt x="30004" y="12261"/>
                  <a:pt x="30004" y="18574"/>
                </a:cubicBez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82" name="Freeform: Shape 381">
            <a:extLst>
              <a:ext uri="{FF2B5EF4-FFF2-40B4-BE49-F238E27FC236}">
                <a16:creationId xmlns:a16="http://schemas.microsoft.com/office/drawing/2014/main" id="{00000000-0008-0000-0000-00007E010000}"/>
              </a:ext>
            </a:extLst>
          </xdr:cNvPr>
          <xdr:cNvSpPr/>
        </xdr:nvSpPr>
        <xdr:spPr>
          <a:xfrm>
            <a:off x="7179469" y="4508658"/>
            <a:ext cx="28575" cy="28575"/>
          </a:xfrm>
          <a:custGeom>
            <a:avLst/>
            <a:gdLst>
              <a:gd name="connsiteX0" fmla="*/ 30004 w 28575"/>
              <a:gd name="connsiteY0" fmla="*/ 18574 h 28575"/>
              <a:gd name="connsiteX1" fmla="*/ 18574 w 28575"/>
              <a:gd name="connsiteY1" fmla="*/ 30004 h 28575"/>
              <a:gd name="connsiteX2" fmla="*/ 7143 w 28575"/>
              <a:gd name="connsiteY2" fmla="*/ 18574 h 28575"/>
              <a:gd name="connsiteX3" fmla="*/ 18574 w 28575"/>
              <a:gd name="connsiteY3" fmla="*/ 7144 h 28575"/>
              <a:gd name="connsiteX4" fmla="*/ 30004 w 28575"/>
              <a:gd name="connsiteY4" fmla="*/ 18574 h 285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8575" h="28575">
                <a:moveTo>
                  <a:pt x="30004" y="18574"/>
                </a:moveTo>
                <a:cubicBezTo>
                  <a:pt x="30004" y="24886"/>
                  <a:pt x="24886" y="30004"/>
                  <a:pt x="18574" y="30004"/>
                </a:cubicBezTo>
                <a:cubicBezTo>
                  <a:pt x="12261" y="30004"/>
                  <a:pt x="7143" y="24886"/>
                  <a:pt x="7143" y="18574"/>
                </a:cubicBezTo>
                <a:cubicBezTo>
                  <a:pt x="7143" y="12261"/>
                  <a:pt x="12261" y="7144"/>
                  <a:pt x="18574" y="7144"/>
                </a:cubicBezTo>
                <a:cubicBezTo>
                  <a:pt x="24886" y="7144"/>
                  <a:pt x="30004" y="12261"/>
                  <a:pt x="30004" y="18574"/>
                </a:cubicBez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83" name="Freeform: Shape 382">
            <a:extLst>
              <a:ext uri="{FF2B5EF4-FFF2-40B4-BE49-F238E27FC236}">
                <a16:creationId xmlns:a16="http://schemas.microsoft.com/office/drawing/2014/main" id="{00000000-0008-0000-0000-00007F010000}"/>
              </a:ext>
            </a:extLst>
          </xdr:cNvPr>
          <xdr:cNvSpPr/>
        </xdr:nvSpPr>
        <xdr:spPr>
          <a:xfrm>
            <a:off x="7267099" y="4564856"/>
            <a:ext cx="28575" cy="28575"/>
          </a:xfrm>
          <a:custGeom>
            <a:avLst/>
            <a:gdLst>
              <a:gd name="connsiteX0" fmla="*/ 30004 w 28575"/>
              <a:gd name="connsiteY0" fmla="*/ 18574 h 28575"/>
              <a:gd name="connsiteX1" fmla="*/ 18574 w 28575"/>
              <a:gd name="connsiteY1" fmla="*/ 30004 h 28575"/>
              <a:gd name="connsiteX2" fmla="*/ 7144 w 28575"/>
              <a:gd name="connsiteY2" fmla="*/ 18574 h 28575"/>
              <a:gd name="connsiteX3" fmla="*/ 18574 w 28575"/>
              <a:gd name="connsiteY3" fmla="*/ 7144 h 28575"/>
              <a:gd name="connsiteX4" fmla="*/ 30004 w 28575"/>
              <a:gd name="connsiteY4" fmla="*/ 18574 h 285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8575" h="28575">
                <a:moveTo>
                  <a:pt x="30004" y="18574"/>
                </a:moveTo>
                <a:cubicBezTo>
                  <a:pt x="30004" y="24887"/>
                  <a:pt x="24886" y="30004"/>
                  <a:pt x="18574" y="30004"/>
                </a:cubicBezTo>
                <a:cubicBezTo>
                  <a:pt x="12261" y="30004"/>
                  <a:pt x="7144" y="24887"/>
                  <a:pt x="7144" y="18574"/>
                </a:cubicBezTo>
                <a:cubicBezTo>
                  <a:pt x="7144" y="12261"/>
                  <a:pt x="12261" y="7144"/>
                  <a:pt x="18574" y="7144"/>
                </a:cubicBezTo>
                <a:cubicBezTo>
                  <a:pt x="24886" y="7144"/>
                  <a:pt x="30004" y="12261"/>
                  <a:pt x="30004" y="18574"/>
                </a:cubicBez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84" name="Freeform: Shape 383">
            <a:extLst>
              <a:ext uri="{FF2B5EF4-FFF2-40B4-BE49-F238E27FC236}">
                <a16:creationId xmlns:a16="http://schemas.microsoft.com/office/drawing/2014/main" id="{00000000-0008-0000-0000-000080010000}"/>
              </a:ext>
            </a:extLst>
          </xdr:cNvPr>
          <xdr:cNvSpPr/>
        </xdr:nvSpPr>
        <xdr:spPr>
          <a:xfrm>
            <a:off x="7364254" y="4483893"/>
            <a:ext cx="28575" cy="28575"/>
          </a:xfrm>
          <a:custGeom>
            <a:avLst/>
            <a:gdLst>
              <a:gd name="connsiteX0" fmla="*/ 30004 w 28575"/>
              <a:gd name="connsiteY0" fmla="*/ 18574 h 28575"/>
              <a:gd name="connsiteX1" fmla="*/ 18574 w 28575"/>
              <a:gd name="connsiteY1" fmla="*/ 30004 h 28575"/>
              <a:gd name="connsiteX2" fmla="*/ 7143 w 28575"/>
              <a:gd name="connsiteY2" fmla="*/ 18574 h 28575"/>
              <a:gd name="connsiteX3" fmla="*/ 18574 w 28575"/>
              <a:gd name="connsiteY3" fmla="*/ 7144 h 28575"/>
              <a:gd name="connsiteX4" fmla="*/ 30004 w 28575"/>
              <a:gd name="connsiteY4" fmla="*/ 18574 h 285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8575" h="28575">
                <a:moveTo>
                  <a:pt x="30004" y="18574"/>
                </a:moveTo>
                <a:cubicBezTo>
                  <a:pt x="30004" y="24887"/>
                  <a:pt x="24886" y="30004"/>
                  <a:pt x="18574" y="30004"/>
                </a:cubicBezTo>
                <a:cubicBezTo>
                  <a:pt x="12261" y="30004"/>
                  <a:pt x="7143" y="24887"/>
                  <a:pt x="7143" y="18574"/>
                </a:cubicBezTo>
                <a:cubicBezTo>
                  <a:pt x="7143" y="12261"/>
                  <a:pt x="12261" y="7144"/>
                  <a:pt x="18574" y="7144"/>
                </a:cubicBezTo>
                <a:cubicBezTo>
                  <a:pt x="24886" y="7144"/>
                  <a:pt x="30004" y="12261"/>
                  <a:pt x="30004" y="18574"/>
                </a:cubicBez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85" name="Freeform: Shape 384">
            <a:extLst>
              <a:ext uri="{FF2B5EF4-FFF2-40B4-BE49-F238E27FC236}">
                <a16:creationId xmlns:a16="http://schemas.microsoft.com/office/drawing/2014/main" id="{00000000-0008-0000-0000-000081010000}"/>
              </a:ext>
            </a:extLst>
          </xdr:cNvPr>
          <xdr:cNvSpPr/>
        </xdr:nvSpPr>
        <xdr:spPr>
          <a:xfrm>
            <a:off x="7364254" y="4613433"/>
            <a:ext cx="28575" cy="28575"/>
          </a:xfrm>
          <a:custGeom>
            <a:avLst/>
            <a:gdLst>
              <a:gd name="connsiteX0" fmla="*/ 30004 w 28575"/>
              <a:gd name="connsiteY0" fmla="*/ 18574 h 28575"/>
              <a:gd name="connsiteX1" fmla="*/ 18574 w 28575"/>
              <a:gd name="connsiteY1" fmla="*/ 30004 h 28575"/>
              <a:gd name="connsiteX2" fmla="*/ 7143 w 28575"/>
              <a:gd name="connsiteY2" fmla="*/ 18574 h 28575"/>
              <a:gd name="connsiteX3" fmla="*/ 18574 w 28575"/>
              <a:gd name="connsiteY3" fmla="*/ 7144 h 28575"/>
              <a:gd name="connsiteX4" fmla="*/ 30004 w 28575"/>
              <a:gd name="connsiteY4" fmla="*/ 18574 h 285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8575" h="28575">
                <a:moveTo>
                  <a:pt x="30004" y="18574"/>
                </a:moveTo>
                <a:cubicBezTo>
                  <a:pt x="30004" y="24886"/>
                  <a:pt x="24886" y="30004"/>
                  <a:pt x="18574" y="30004"/>
                </a:cubicBezTo>
                <a:cubicBezTo>
                  <a:pt x="12261" y="30004"/>
                  <a:pt x="7143" y="24886"/>
                  <a:pt x="7143" y="18574"/>
                </a:cubicBezTo>
                <a:cubicBezTo>
                  <a:pt x="7143" y="12261"/>
                  <a:pt x="12261" y="7144"/>
                  <a:pt x="18574" y="7144"/>
                </a:cubicBezTo>
                <a:cubicBezTo>
                  <a:pt x="24886" y="7144"/>
                  <a:pt x="30004" y="12261"/>
                  <a:pt x="30004" y="18574"/>
                </a:cubicBez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86" name="Freeform: Shape 385">
            <a:extLst>
              <a:ext uri="{FF2B5EF4-FFF2-40B4-BE49-F238E27FC236}">
                <a16:creationId xmlns:a16="http://schemas.microsoft.com/office/drawing/2014/main" id="{00000000-0008-0000-0000-000082010000}"/>
              </a:ext>
            </a:extLst>
          </xdr:cNvPr>
          <xdr:cNvSpPr/>
        </xdr:nvSpPr>
        <xdr:spPr>
          <a:xfrm>
            <a:off x="7627144" y="4568666"/>
            <a:ext cx="28575" cy="28575"/>
          </a:xfrm>
          <a:custGeom>
            <a:avLst/>
            <a:gdLst>
              <a:gd name="connsiteX0" fmla="*/ 30004 w 28575"/>
              <a:gd name="connsiteY0" fmla="*/ 18574 h 28575"/>
              <a:gd name="connsiteX1" fmla="*/ 18574 w 28575"/>
              <a:gd name="connsiteY1" fmla="*/ 30004 h 28575"/>
              <a:gd name="connsiteX2" fmla="*/ 7143 w 28575"/>
              <a:gd name="connsiteY2" fmla="*/ 18574 h 28575"/>
              <a:gd name="connsiteX3" fmla="*/ 18574 w 28575"/>
              <a:gd name="connsiteY3" fmla="*/ 7144 h 28575"/>
              <a:gd name="connsiteX4" fmla="*/ 30004 w 28575"/>
              <a:gd name="connsiteY4" fmla="*/ 18574 h 285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8575" h="28575">
                <a:moveTo>
                  <a:pt x="30004" y="18574"/>
                </a:moveTo>
                <a:cubicBezTo>
                  <a:pt x="30004" y="24887"/>
                  <a:pt x="24886" y="30004"/>
                  <a:pt x="18574" y="30004"/>
                </a:cubicBezTo>
                <a:cubicBezTo>
                  <a:pt x="12261" y="30004"/>
                  <a:pt x="7143" y="24887"/>
                  <a:pt x="7143" y="18574"/>
                </a:cubicBezTo>
                <a:cubicBezTo>
                  <a:pt x="7143" y="12261"/>
                  <a:pt x="12261" y="7144"/>
                  <a:pt x="18574" y="7144"/>
                </a:cubicBezTo>
                <a:cubicBezTo>
                  <a:pt x="24886" y="7144"/>
                  <a:pt x="30004" y="12261"/>
                  <a:pt x="30004" y="18574"/>
                </a:cubicBez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  <xdr:twoCellAnchor editAs="oneCell">
    <xdr:from>
      <xdr:col>11</xdr:col>
      <xdr:colOff>445731</xdr:colOff>
      <xdr:row>3</xdr:row>
      <xdr:rowOff>220091</xdr:rowOff>
    </xdr:from>
    <xdr:to>
      <xdr:col>12</xdr:col>
      <xdr:colOff>455256</xdr:colOff>
      <xdr:row>5</xdr:row>
      <xdr:rowOff>144688</xdr:rowOff>
    </xdr:to>
    <xdr:pic>
      <xdr:nvPicPr>
        <xdr:cNvPr id="2" name="Graphic 4" descr="Smiling sun emoji">
          <a:extLst>
            <a:ext uri="{FF2B5EF4-FFF2-40B4-BE49-F238E27FC236}">
              <a16:creationId xmlns:a16="http://schemas.microsoft.com/office/drawing/2014/main" id="{E6F03EEF-010A-92F8-C10A-CAF94AC7F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589856" y="2258441"/>
          <a:ext cx="466725" cy="750097"/>
        </a:xfrm>
        <a:prstGeom prst="rect">
          <a:avLst/>
        </a:prstGeom>
      </xdr:spPr>
    </xdr:pic>
    <xdr:clientData/>
  </xdr:twoCellAnchor>
  <xdr:twoCellAnchor editAs="oneCell">
    <xdr:from>
      <xdr:col>12</xdr:col>
      <xdr:colOff>590105</xdr:colOff>
      <xdr:row>3</xdr:row>
      <xdr:rowOff>206775</xdr:rowOff>
    </xdr:from>
    <xdr:to>
      <xdr:col>14</xdr:col>
      <xdr:colOff>84340</xdr:colOff>
      <xdr:row>5</xdr:row>
      <xdr:rowOff>164540</xdr:rowOff>
    </xdr:to>
    <xdr:grpSp>
      <xdr:nvGrpSpPr>
        <xdr:cNvPr id="3" name="Group 2" descr="Smiling sun in beach emoji">
          <a:extLst>
            <a:ext uri="{FF2B5EF4-FFF2-40B4-BE49-F238E27FC236}">
              <a16:creationId xmlns:a16="http://schemas.microsoft.com/office/drawing/2014/main" id="{6D602668-908F-F623-E476-B3CCB1C960A3}"/>
            </a:ext>
          </a:extLst>
        </xdr:cNvPr>
        <xdr:cNvGrpSpPr/>
      </xdr:nvGrpSpPr>
      <xdr:grpSpPr>
        <a:xfrm>
          <a:off x="23307230" y="2245125"/>
          <a:ext cx="630885" cy="783265"/>
          <a:chOff x="4456095" y="2918873"/>
          <a:chExt cx="764235" cy="865950"/>
        </a:xfrm>
      </xdr:grpSpPr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3B9463F0-73B9-864F-637B-237F5F50AA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456095" y="2918873"/>
            <a:ext cx="764235" cy="764235"/>
          </a:xfrm>
          <a:prstGeom prst="rect">
            <a:avLst/>
          </a:prstGeom>
        </xdr:spPr>
      </xdr:pic>
      <xdr:sp macro="" textlink="">
        <xdr:nvSpPr>
          <xdr:cNvPr id="5" name="Freeform: Shape 171">
            <a:extLst>
              <a:ext uri="{FF2B5EF4-FFF2-40B4-BE49-F238E27FC236}">
                <a16:creationId xmlns:a16="http://schemas.microsoft.com/office/drawing/2014/main" id="{D96B89D3-DEAF-88BF-10F7-8FA8AB5211CC}"/>
              </a:ext>
            </a:extLst>
          </xdr:cNvPr>
          <xdr:cNvSpPr/>
        </xdr:nvSpPr>
        <xdr:spPr>
          <a:xfrm>
            <a:off x="4498448" y="3679650"/>
            <a:ext cx="679531" cy="37787"/>
          </a:xfrm>
          <a:custGeom>
            <a:avLst/>
            <a:gdLst>
              <a:gd name="connsiteX0" fmla="*/ 972503 w 981075"/>
              <a:gd name="connsiteY0" fmla="*/ 0 h 57150"/>
              <a:gd name="connsiteX1" fmla="*/ 923925 w 981075"/>
              <a:gd name="connsiteY1" fmla="*/ 22860 h 57150"/>
              <a:gd name="connsiteX2" fmla="*/ 892493 w 981075"/>
              <a:gd name="connsiteY2" fmla="*/ 39053 h 57150"/>
              <a:gd name="connsiteX3" fmla="*/ 861060 w 981075"/>
              <a:gd name="connsiteY3" fmla="*/ 22860 h 57150"/>
              <a:gd name="connsiteX4" fmla="*/ 812483 w 981075"/>
              <a:gd name="connsiteY4" fmla="*/ 0 h 57150"/>
              <a:gd name="connsiteX5" fmla="*/ 763905 w 981075"/>
              <a:gd name="connsiteY5" fmla="*/ 22860 h 57150"/>
              <a:gd name="connsiteX6" fmla="*/ 732473 w 981075"/>
              <a:gd name="connsiteY6" fmla="*/ 39053 h 57150"/>
              <a:gd name="connsiteX7" fmla="*/ 701040 w 981075"/>
              <a:gd name="connsiteY7" fmla="*/ 22860 h 57150"/>
              <a:gd name="connsiteX8" fmla="*/ 652463 w 981075"/>
              <a:gd name="connsiteY8" fmla="*/ 0 h 57150"/>
              <a:gd name="connsiteX9" fmla="*/ 603885 w 981075"/>
              <a:gd name="connsiteY9" fmla="*/ 22860 h 57150"/>
              <a:gd name="connsiteX10" fmla="*/ 572453 w 981075"/>
              <a:gd name="connsiteY10" fmla="*/ 39053 h 57150"/>
              <a:gd name="connsiteX11" fmla="*/ 541020 w 981075"/>
              <a:gd name="connsiteY11" fmla="*/ 22860 h 57150"/>
              <a:gd name="connsiteX12" fmla="*/ 492443 w 981075"/>
              <a:gd name="connsiteY12" fmla="*/ 0 h 57150"/>
              <a:gd name="connsiteX13" fmla="*/ 443865 w 981075"/>
              <a:gd name="connsiteY13" fmla="*/ 22860 h 57150"/>
              <a:gd name="connsiteX14" fmla="*/ 412433 w 981075"/>
              <a:gd name="connsiteY14" fmla="*/ 39053 h 57150"/>
              <a:gd name="connsiteX15" fmla="*/ 381000 w 981075"/>
              <a:gd name="connsiteY15" fmla="*/ 22860 h 57150"/>
              <a:gd name="connsiteX16" fmla="*/ 332423 w 981075"/>
              <a:gd name="connsiteY16" fmla="*/ 0 h 57150"/>
              <a:gd name="connsiteX17" fmla="*/ 283845 w 981075"/>
              <a:gd name="connsiteY17" fmla="*/ 22860 h 57150"/>
              <a:gd name="connsiteX18" fmla="*/ 252413 w 981075"/>
              <a:gd name="connsiteY18" fmla="*/ 39053 h 57150"/>
              <a:gd name="connsiteX19" fmla="*/ 220980 w 981075"/>
              <a:gd name="connsiteY19" fmla="*/ 22860 h 57150"/>
              <a:gd name="connsiteX20" fmla="*/ 172403 w 981075"/>
              <a:gd name="connsiteY20" fmla="*/ 0 h 57150"/>
              <a:gd name="connsiteX21" fmla="*/ 123825 w 981075"/>
              <a:gd name="connsiteY21" fmla="*/ 22860 h 57150"/>
              <a:gd name="connsiteX22" fmla="*/ 92393 w 981075"/>
              <a:gd name="connsiteY22" fmla="*/ 39053 h 57150"/>
              <a:gd name="connsiteX23" fmla="*/ 60960 w 981075"/>
              <a:gd name="connsiteY23" fmla="*/ 22860 h 57150"/>
              <a:gd name="connsiteX24" fmla="*/ 12383 w 981075"/>
              <a:gd name="connsiteY24" fmla="*/ 0 h 57150"/>
              <a:gd name="connsiteX25" fmla="*/ 0 w 981075"/>
              <a:gd name="connsiteY25" fmla="*/ 12383 h 57150"/>
              <a:gd name="connsiteX26" fmla="*/ 12383 w 981075"/>
              <a:gd name="connsiteY26" fmla="*/ 24765 h 57150"/>
              <a:gd name="connsiteX27" fmla="*/ 43815 w 981075"/>
              <a:gd name="connsiteY27" fmla="*/ 40958 h 57150"/>
              <a:gd name="connsiteX28" fmla="*/ 92393 w 981075"/>
              <a:gd name="connsiteY28" fmla="*/ 63818 h 57150"/>
              <a:gd name="connsiteX29" fmla="*/ 140970 w 981075"/>
              <a:gd name="connsiteY29" fmla="*/ 40958 h 57150"/>
              <a:gd name="connsiteX30" fmla="*/ 172403 w 981075"/>
              <a:gd name="connsiteY30" fmla="*/ 24765 h 57150"/>
              <a:gd name="connsiteX31" fmla="*/ 203835 w 981075"/>
              <a:gd name="connsiteY31" fmla="*/ 40958 h 57150"/>
              <a:gd name="connsiteX32" fmla="*/ 252413 w 981075"/>
              <a:gd name="connsiteY32" fmla="*/ 63818 h 57150"/>
              <a:gd name="connsiteX33" fmla="*/ 300990 w 981075"/>
              <a:gd name="connsiteY33" fmla="*/ 40958 h 57150"/>
              <a:gd name="connsiteX34" fmla="*/ 332423 w 981075"/>
              <a:gd name="connsiteY34" fmla="*/ 24765 h 57150"/>
              <a:gd name="connsiteX35" fmla="*/ 363855 w 981075"/>
              <a:gd name="connsiteY35" fmla="*/ 40958 h 57150"/>
              <a:gd name="connsiteX36" fmla="*/ 412433 w 981075"/>
              <a:gd name="connsiteY36" fmla="*/ 63818 h 57150"/>
              <a:gd name="connsiteX37" fmla="*/ 461010 w 981075"/>
              <a:gd name="connsiteY37" fmla="*/ 40958 h 57150"/>
              <a:gd name="connsiteX38" fmla="*/ 492443 w 981075"/>
              <a:gd name="connsiteY38" fmla="*/ 24765 h 57150"/>
              <a:gd name="connsiteX39" fmla="*/ 523875 w 981075"/>
              <a:gd name="connsiteY39" fmla="*/ 40958 h 57150"/>
              <a:gd name="connsiteX40" fmla="*/ 572453 w 981075"/>
              <a:gd name="connsiteY40" fmla="*/ 63818 h 57150"/>
              <a:gd name="connsiteX41" fmla="*/ 621030 w 981075"/>
              <a:gd name="connsiteY41" fmla="*/ 40958 h 57150"/>
              <a:gd name="connsiteX42" fmla="*/ 652463 w 981075"/>
              <a:gd name="connsiteY42" fmla="*/ 24765 h 57150"/>
              <a:gd name="connsiteX43" fmla="*/ 683895 w 981075"/>
              <a:gd name="connsiteY43" fmla="*/ 40958 h 57150"/>
              <a:gd name="connsiteX44" fmla="*/ 732473 w 981075"/>
              <a:gd name="connsiteY44" fmla="*/ 63818 h 57150"/>
              <a:gd name="connsiteX45" fmla="*/ 781050 w 981075"/>
              <a:gd name="connsiteY45" fmla="*/ 40958 h 57150"/>
              <a:gd name="connsiteX46" fmla="*/ 812483 w 981075"/>
              <a:gd name="connsiteY46" fmla="*/ 24765 h 57150"/>
              <a:gd name="connsiteX47" fmla="*/ 843915 w 981075"/>
              <a:gd name="connsiteY47" fmla="*/ 40958 h 57150"/>
              <a:gd name="connsiteX48" fmla="*/ 892493 w 981075"/>
              <a:gd name="connsiteY48" fmla="*/ 63818 h 57150"/>
              <a:gd name="connsiteX49" fmla="*/ 941070 w 981075"/>
              <a:gd name="connsiteY49" fmla="*/ 40958 h 57150"/>
              <a:gd name="connsiteX50" fmla="*/ 972503 w 981075"/>
              <a:gd name="connsiteY50" fmla="*/ 24765 h 57150"/>
              <a:gd name="connsiteX51" fmla="*/ 984885 w 981075"/>
              <a:gd name="connsiteY51" fmla="*/ 12383 h 57150"/>
              <a:gd name="connsiteX52" fmla="*/ 972503 w 981075"/>
              <a:gd name="connsiteY52" fmla="*/ 0 h 57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</a:cxnLst>
            <a:rect l="l" t="t" r="r" b="b"/>
            <a:pathLst>
              <a:path w="981075" h="57150">
                <a:moveTo>
                  <a:pt x="972503" y="0"/>
                </a:moveTo>
                <a:cubicBezTo>
                  <a:pt x="947738" y="0"/>
                  <a:pt x="934403" y="12383"/>
                  <a:pt x="923925" y="22860"/>
                </a:cubicBezTo>
                <a:cubicBezTo>
                  <a:pt x="914400" y="32385"/>
                  <a:pt x="907733" y="39053"/>
                  <a:pt x="892493" y="39053"/>
                </a:cubicBezTo>
                <a:cubicBezTo>
                  <a:pt x="877253" y="39053"/>
                  <a:pt x="870585" y="32385"/>
                  <a:pt x="861060" y="22860"/>
                </a:cubicBezTo>
                <a:cubicBezTo>
                  <a:pt x="850583" y="12383"/>
                  <a:pt x="837248" y="0"/>
                  <a:pt x="812483" y="0"/>
                </a:cubicBezTo>
                <a:cubicBezTo>
                  <a:pt x="787718" y="0"/>
                  <a:pt x="774383" y="12383"/>
                  <a:pt x="763905" y="22860"/>
                </a:cubicBezTo>
                <a:cubicBezTo>
                  <a:pt x="754380" y="32385"/>
                  <a:pt x="747713" y="39053"/>
                  <a:pt x="732473" y="39053"/>
                </a:cubicBezTo>
                <a:cubicBezTo>
                  <a:pt x="717233" y="39053"/>
                  <a:pt x="710565" y="32385"/>
                  <a:pt x="701040" y="22860"/>
                </a:cubicBezTo>
                <a:cubicBezTo>
                  <a:pt x="690563" y="12383"/>
                  <a:pt x="677228" y="0"/>
                  <a:pt x="652463" y="0"/>
                </a:cubicBezTo>
                <a:cubicBezTo>
                  <a:pt x="627698" y="0"/>
                  <a:pt x="614363" y="12383"/>
                  <a:pt x="603885" y="22860"/>
                </a:cubicBezTo>
                <a:cubicBezTo>
                  <a:pt x="594360" y="32385"/>
                  <a:pt x="587693" y="39053"/>
                  <a:pt x="572453" y="39053"/>
                </a:cubicBezTo>
                <a:cubicBezTo>
                  <a:pt x="557213" y="39053"/>
                  <a:pt x="550545" y="32385"/>
                  <a:pt x="541020" y="22860"/>
                </a:cubicBezTo>
                <a:cubicBezTo>
                  <a:pt x="530543" y="12383"/>
                  <a:pt x="517208" y="0"/>
                  <a:pt x="492443" y="0"/>
                </a:cubicBezTo>
                <a:cubicBezTo>
                  <a:pt x="467678" y="0"/>
                  <a:pt x="454343" y="12383"/>
                  <a:pt x="443865" y="22860"/>
                </a:cubicBezTo>
                <a:cubicBezTo>
                  <a:pt x="434340" y="32385"/>
                  <a:pt x="427673" y="39053"/>
                  <a:pt x="412433" y="39053"/>
                </a:cubicBezTo>
                <a:cubicBezTo>
                  <a:pt x="397193" y="39053"/>
                  <a:pt x="390525" y="32385"/>
                  <a:pt x="381000" y="22860"/>
                </a:cubicBezTo>
                <a:cubicBezTo>
                  <a:pt x="370523" y="12383"/>
                  <a:pt x="357188" y="0"/>
                  <a:pt x="332423" y="0"/>
                </a:cubicBezTo>
                <a:cubicBezTo>
                  <a:pt x="307658" y="0"/>
                  <a:pt x="294323" y="12383"/>
                  <a:pt x="283845" y="22860"/>
                </a:cubicBezTo>
                <a:cubicBezTo>
                  <a:pt x="274320" y="32385"/>
                  <a:pt x="267653" y="39053"/>
                  <a:pt x="252413" y="39053"/>
                </a:cubicBezTo>
                <a:cubicBezTo>
                  <a:pt x="237173" y="39053"/>
                  <a:pt x="230505" y="32385"/>
                  <a:pt x="220980" y="22860"/>
                </a:cubicBezTo>
                <a:cubicBezTo>
                  <a:pt x="210503" y="12383"/>
                  <a:pt x="197168" y="0"/>
                  <a:pt x="172403" y="0"/>
                </a:cubicBezTo>
                <a:cubicBezTo>
                  <a:pt x="147638" y="0"/>
                  <a:pt x="134303" y="12383"/>
                  <a:pt x="123825" y="22860"/>
                </a:cubicBezTo>
                <a:cubicBezTo>
                  <a:pt x="114300" y="32385"/>
                  <a:pt x="107633" y="39053"/>
                  <a:pt x="92393" y="39053"/>
                </a:cubicBezTo>
                <a:cubicBezTo>
                  <a:pt x="77153" y="39053"/>
                  <a:pt x="70485" y="32385"/>
                  <a:pt x="60960" y="22860"/>
                </a:cubicBezTo>
                <a:cubicBezTo>
                  <a:pt x="50483" y="12383"/>
                  <a:pt x="37148" y="0"/>
                  <a:pt x="12383" y="0"/>
                </a:cubicBezTo>
                <a:cubicBezTo>
                  <a:pt x="5715" y="0"/>
                  <a:pt x="0" y="5715"/>
                  <a:pt x="0" y="12383"/>
                </a:cubicBezTo>
                <a:cubicBezTo>
                  <a:pt x="0" y="19050"/>
                  <a:pt x="5715" y="24765"/>
                  <a:pt x="12383" y="24765"/>
                </a:cubicBezTo>
                <a:cubicBezTo>
                  <a:pt x="27623" y="24765"/>
                  <a:pt x="34290" y="31433"/>
                  <a:pt x="43815" y="40958"/>
                </a:cubicBezTo>
                <a:cubicBezTo>
                  <a:pt x="54293" y="51435"/>
                  <a:pt x="67628" y="63818"/>
                  <a:pt x="92393" y="63818"/>
                </a:cubicBezTo>
                <a:cubicBezTo>
                  <a:pt x="117158" y="63818"/>
                  <a:pt x="130493" y="51435"/>
                  <a:pt x="140970" y="40958"/>
                </a:cubicBezTo>
                <a:cubicBezTo>
                  <a:pt x="150495" y="31433"/>
                  <a:pt x="157163" y="24765"/>
                  <a:pt x="172403" y="24765"/>
                </a:cubicBezTo>
                <a:cubicBezTo>
                  <a:pt x="187643" y="24765"/>
                  <a:pt x="194310" y="31433"/>
                  <a:pt x="203835" y="40958"/>
                </a:cubicBezTo>
                <a:cubicBezTo>
                  <a:pt x="214313" y="51435"/>
                  <a:pt x="227648" y="63818"/>
                  <a:pt x="252413" y="63818"/>
                </a:cubicBezTo>
                <a:cubicBezTo>
                  <a:pt x="277178" y="63818"/>
                  <a:pt x="290513" y="51435"/>
                  <a:pt x="300990" y="40958"/>
                </a:cubicBezTo>
                <a:cubicBezTo>
                  <a:pt x="310515" y="31433"/>
                  <a:pt x="317183" y="24765"/>
                  <a:pt x="332423" y="24765"/>
                </a:cubicBezTo>
                <a:cubicBezTo>
                  <a:pt x="347663" y="24765"/>
                  <a:pt x="354330" y="31433"/>
                  <a:pt x="363855" y="40958"/>
                </a:cubicBezTo>
                <a:cubicBezTo>
                  <a:pt x="374333" y="51435"/>
                  <a:pt x="387668" y="63818"/>
                  <a:pt x="412433" y="63818"/>
                </a:cubicBezTo>
                <a:cubicBezTo>
                  <a:pt x="437198" y="63818"/>
                  <a:pt x="450533" y="51435"/>
                  <a:pt x="461010" y="40958"/>
                </a:cubicBezTo>
                <a:cubicBezTo>
                  <a:pt x="470535" y="31433"/>
                  <a:pt x="477203" y="24765"/>
                  <a:pt x="492443" y="24765"/>
                </a:cubicBezTo>
                <a:cubicBezTo>
                  <a:pt x="507683" y="24765"/>
                  <a:pt x="514350" y="31433"/>
                  <a:pt x="523875" y="40958"/>
                </a:cubicBezTo>
                <a:cubicBezTo>
                  <a:pt x="534353" y="51435"/>
                  <a:pt x="547688" y="63818"/>
                  <a:pt x="572453" y="63818"/>
                </a:cubicBezTo>
                <a:cubicBezTo>
                  <a:pt x="597218" y="63818"/>
                  <a:pt x="610553" y="51435"/>
                  <a:pt x="621030" y="40958"/>
                </a:cubicBezTo>
                <a:cubicBezTo>
                  <a:pt x="630555" y="31433"/>
                  <a:pt x="637223" y="24765"/>
                  <a:pt x="652463" y="24765"/>
                </a:cubicBezTo>
                <a:cubicBezTo>
                  <a:pt x="667703" y="24765"/>
                  <a:pt x="674370" y="31433"/>
                  <a:pt x="683895" y="40958"/>
                </a:cubicBezTo>
                <a:cubicBezTo>
                  <a:pt x="694373" y="51435"/>
                  <a:pt x="707708" y="63818"/>
                  <a:pt x="732473" y="63818"/>
                </a:cubicBezTo>
                <a:cubicBezTo>
                  <a:pt x="757238" y="63818"/>
                  <a:pt x="770573" y="51435"/>
                  <a:pt x="781050" y="40958"/>
                </a:cubicBezTo>
                <a:cubicBezTo>
                  <a:pt x="790575" y="31433"/>
                  <a:pt x="797243" y="24765"/>
                  <a:pt x="812483" y="24765"/>
                </a:cubicBezTo>
                <a:cubicBezTo>
                  <a:pt x="827723" y="24765"/>
                  <a:pt x="834390" y="31433"/>
                  <a:pt x="843915" y="40958"/>
                </a:cubicBezTo>
                <a:cubicBezTo>
                  <a:pt x="854393" y="51435"/>
                  <a:pt x="867728" y="63818"/>
                  <a:pt x="892493" y="63818"/>
                </a:cubicBezTo>
                <a:cubicBezTo>
                  <a:pt x="917258" y="63818"/>
                  <a:pt x="930593" y="51435"/>
                  <a:pt x="941070" y="40958"/>
                </a:cubicBezTo>
                <a:cubicBezTo>
                  <a:pt x="950595" y="31433"/>
                  <a:pt x="957263" y="24765"/>
                  <a:pt x="972503" y="24765"/>
                </a:cubicBezTo>
                <a:cubicBezTo>
                  <a:pt x="979170" y="24765"/>
                  <a:pt x="984885" y="19050"/>
                  <a:pt x="984885" y="12383"/>
                </a:cubicBezTo>
                <a:cubicBezTo>
                  <a:pt x="983933" y="5715"/>
                  <a:pt x="979170" y="0"/>
                  <a:pt x="972503" y="0"/>
                </a:cubicBezTo>
                <a:close/>
              </a:path>
            </a:pathLst>
          </a:custGeom>
          <a:solidFill>
            <a:srgbClr val="3AACE2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" name="Freeform: Shape 172">
            <a:extLst>
              <a:ext uri="{FF2B5EF4-FFF2-40B4-BE49-F238E27FC236}">
                <a16:creationId xmlns:a16="http://schemas.microsoft.com/office/drawing/2014/main" id="{20F8A1BA-3CB1-A6BE-FDFD-C11EA067FA25}"/>
              </a:ext>
            </a:extLst>
          </xdr:cNvPr>
          <xdr:cNvSpPr/>
        </xdr:nvSpPr>
        <xdr:spPr>
          <a:xfrm>
            <a:off x="4498447" y="3747036"/>
            <a:ext cx="679531" cy="37787"/>
          </a:xfrm>
          <a:custGeom>
            <a:avLst/>
            <a:gdLst>
              <a:gd name="connsiteX0" fmla="*/ 972503 w 981075"/>
              <a:gd name="connsiteY0" fmla="*/ 0 h 57150"/>
              <a:gd name="connsiteX1" fmla="*/ 923925 w 981075"/>
              <a:gd name="connsiteY1" fmla="*/ 22860 h 57150"/>
              <a:gd name="connsiteX2" fmla="*/ 892493 w 981075"/>
              <a:gd name="connsiteY2" fmla="*/ 39052 h 57150"/>
              <a:gd name="connsiteX3" fmla="*/ 861060 w 981075"/>
              <a:gd name="connsiteY3" fmla="*/ 22860 h 57150"/>
              <a:gd name="connsiteX4" fmla="*/ 812483 w 981075"/>
              <a:gd name="connsiteY4" fmla="*/ 0 h 57150"/>
              <a:gd name="connsiteX5" fmla="*/ 763905 w 981075"/>
              <a:gd name="connsiteY5" fmla="*/ 22860 h 57150"/>
              <a:gd name="connsiteX6" fmla="*/ 732473 w 981075"/>
              <a:gd name="connsiteY6" fmla="*/ 39052 h 57150"/>
              <a:gd name="connsiteX7" fmla="*/ 701040 w 981075"/>
              <a:gd name="connsiteY7" fmla="*/ 22860 h 57150"/>
              <a:gd name="connsiteX8" fmla="*/ 652463 w 981075"/>
              <a:gd name="connsiteY8" fmla="*/ 0 h 57150"/>
              <a:gd name="connsiteX9" fmla="*/ 603885 w 981075"/>
              <a:gd name="connsiteY9" fmla="*/ 22860 h 57150"/>
              <a:gd name="connsiteX10" fmla="*/ 572453 w 981075"/>
              <a:gd name="connsiteY10" fmla="*/ 39052 h 57150"/>
              <a:gd name="connsiteX11" fmla="*/ 541020 w 981075"/>
              <a:gd name="connsiteY11" fmla="*/ 22860 h 57150"/>
              <a:gd name="connsiteX12" fmla="*/ 492443 w 981075"/>
              <a:gd name="connsiteY12" fmla="*/ 0 h 57150"/>
              <a:gd name="connsiteX13" fmla="*/ 443865 w 981075"/>
              <a:gd name="connsiteY13" fmla="*/ 22860 h 57150"/>
              <a:gd name="connsiteX14" fmla="*/ 412433 w 981075"/>
              <a:gd name="connsiteY14" fmla="*/ 39052 h 57150"/>
              <a:gd name="connsiteX15" fmla="*/ 381000 w 981075"/>
              <a:gd name="connsiteY15" fmla="*/ 22860 h 57150"/>
              <a:gd name="connsiteX16" fmla="*/ 332423 w 981075"/>
              <a:gd name="connsiteY16" fmla="*/ 0 h 57150"/>
              <a:gd name="connsiteX17" fmla="*/ 283845 w 981075"/>
              <a:gd name="connsiteY17" fmla="*/ 22860 h 57150"/>
              <a:gd name="connsiteX18" fmla="*/ 252413 w 981075"/>
              <a:gd name="connsiteY18" fmla="*/ 39052 h 57150"/>
              <a:gd name="connsiteX19" fmla="*/ 220980 w 981075"/>
              <a:gd name="connsiteY19" fmla="*/ 22860 h 57150"/>
              <a:gd name="connsiteX20" fmla="*/ 172403 w 981075"/>
              <a:gd name="connsiteY20" fmla="*/ 0 h 57150"/>
              <a:gd name="connsiteX21" fmla="*/ 123825 w 981075"/>
              <a:gd name="connsiteY21" fmla="*/ 22860 h 57150"/>
              <a:gd name="connsiteX22" fmla="*/ 92393 w 981075"/>
              <a:gd name="connsiteY22" fmla="*/ 39052 h 57150"/>
              <a:gd name="connsiteX23" fmla="*/ 60960 w 981075"/>
              <a:gd name="connsiteY23" fmla="*/ 22860 h 57150"/>
              <a:gd name="connsiteX24" fmla="*/ 12383 w 981075"/>
              <a:gd name="connsiteY24" fmla="*/ 0 h 57150"/>
              <a:gd name="connsiteX25" fmla="*/ 0 w 981075"/>
              <a:gd name="connsiteY25" fmla="*/ 12382 h 57150"/>
              <a:gd name="connsiteX26" fmla="*/ 12383 w 981075"/>
              <a:gd name="connsiteY26" fmla="*/ 24765 h 57150"/>
              <a:gd name="connsiteX27" fmla="*/ 43815 w 981075"/>
              <a:gd name="connsiteY27" fmla="*/ 40957 h 57150"/>
              <a:gd name="connsiteX28" fmla="*/ 92393 w 981075"/>
              <a:gd name="connsiteY28" fmla="*/ 63817 h 57150"/>
              <a:gd name="connsiteX29" fmla="*/ 140970 w 981075"/>
              <a:gd name="connsiteY29" fmla="*/ 40957 h 57150"/>
              <a:gd name="connsiteX30" fmla="*/ 172403 w 981075"/>
              <a:gd name="connsiteY30" fmla="*/ 24765 h 57150"/>
              <a:gd name="connsiteX31" fmla="*/ 203835 w 981075"/>
              <a:gd name="connsiteY31" fmla="*/ 40957 h 57150"/>
              <a:gd name="connsiteX32" fmla="*/ 252413 w 981075"/>
              <a:gd name="connsiteY32" fmla="*/ 63817 h 57150"/>
              <a:gd name="connsiteX33" fmla="*/ 300990 w 981075"/>
              <a:gd name="connsiteY33" fmla="*/ 40957 h 57150"/>
              <a:gd name="connsiteX34" fmla="*/ 332423 w 981075"/>
              <a:gd name="connsiteY34" fmla="*/ 24765 h 57150"/>
              <a:gd name="connsiteX35" fmla="*/ 363855 w 981075"/>
              <a:gd name="connsiteY35" fmla="*/ 40957 h 57150"/>
              <a:gd name="connsiteX36" fmla="*/ 412433 w 981075"/>
              <a:gd name="connsiteY36" fmla="*/ 63817 h 57150"/>
              <a:gd name="connsiteX37" fmla="*/ 461010 w 981075"/>
              <a:gd name="connsiteY37" fmla="*/ 40957 h 57150"/>
              <a:gd name="connsiteX38" fmla="*/ 492443 w 981075"/>
              <a:gd name="connsiteY38" fmla="*/ 24765 h 57150"/>
              <a:gd name="connsiteX39" fmla="*/ 523875 w 981075"/>
              <a:gd name="connsiteY39" fmla="*/ 40957 h 57150"/>
              <a:gd name="connsiteX40" fmla="*/ 572453 w 981075"/>
              <a:gd name="connsiteY40" fmla="*/ 63817 h 57150"/>
              <a:gd name="connsiteX41" fmla="*/ 621030 w 981075"/>
              <a:gd name="connsiteY41" fmla="*/ 40957 h 57150"/>
              <a:gd name="connsiteX42" fmla="*/ 652463 w 981075"/>
              <a:gd name="connsiteY42" fmla="*/ 24765 h 57150"/>
              <a:gd name="connsiteX43" fmla="*/ 683895 w 981075"/>
              <a:gd name="connsiteY43" fmla="*/ 40957 h 57150"/>
              <a:gd name="connsiteX44" fmla="*/ 732473 w 981075"/>
              <a:gd name="connsiteY44" fmla="*/ 63817 h 57150"/>
              <a:gd name="connsiteX45" fmla="*/ 781050 w 981075"/>
              <a:gd name="connsiteY45" fmla="*/ 40957 h 57150"/>
              <a:gd name="connsiteX46" fmla="*/ 812483 w 981075"/>
              <a:gd name="connsiteY46" fmla="*/ 24765 h 57150"/>
              <a:gd name="connsiteX47" fmla="*/ 843915 w 981075"/>
              <a:gd name="connsiteY47" fmla="*/ 40957 h 57150"/>
              <a:gd name="connsiteX48" fmla="*/ 892493 w 981075"/>
              <a:gd name="connsiteY48" fmla="*/ 63817 h 57150"/>
              <a:gd name="connsiteX49" fmla="*/ 941070 w 981075"/>
              <a:gd name="connsiteY49" fmla="*/ 40957 h 57150"/>
              <a:gd name="connsiteX50" fmla="*/ 972503 w 981075"/>
              <a:gd name="connsiteY50" fmla="*/ 24765 h 57150"/>
              <a:gd name="connsiteX51" fmla="*/ 984885 w 981075"/>
              <a:gd name="connsiteY51" fmla="*/ 12382 h 57150"/>
              <a:gd name="connsiteX52" fmla="*/ 972503 w 981075"/>
              <a:gd name="connsiteY52" fmla="*/ 0 h 57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</a:cxnLst>
            <a:rect l="l" t="t" r="r" b="b"/>
            <a:pathLst>
              <a:path w="981075" h="57150">
                <a:moveTo>
                  <a:pt x="972503" y="0"/>
                </a:moveTo>
                <a:cubicBezTo>
                  <a:pt x="947738" y="0"/>
                  <a:pt x="934403" y="12382"/>
                  <a:pt x="923925" y="22860"/>
                </a:cubicBezTo>
                <a:cubicBezTo>
                  <a:pt x="914400" y="32385"/>
                  <a:pt x="907733" y="39052"/>
                  <a:pt x="892493" y="39052"/>
                </a:cubicBezTo>
                <a:cubicBezTo>
                  <a:pt x="877253" y="39052"/>
                  <a:pt x="870585" y="32385"/>
                  <a:pt x="861060" y="22860"/>
                </a:cubicBezTo>
                <a:cubicBezTo>
                  <a:pt x="850583" y="12382"/>
                  <a:pt x="837248" y="0"/>
                  <a:pt x="812483" y="0"/>
                </a:cubicBezTo>
                <a:cubicBezTo>
                  <a:pt x="787718" y="0"/>
                  <a:pt x="774383" y="12382"/>
                  <a:pt x="763905" y="22860"/>
                </a:cubicBezTo>
                <a:cubicBezTo>
                  <a:pt x="754380" y="32385"/>
                  <a:pt x="747713" y="39052"/>
                  <a:pt x="732473" y="39052"/>
                </a:cubicBezTo>
                <a:cubicBezTo>
                  <a:pt x="717233" y="39052"/>
                  <a:pt x="710565" y="32385"/>
                  <a:pt x="701040" y="22860"/>
                </a:cubicBezTo>
                <a:cubicBezTo>
                  <a:pt x="690563" y="12382"/>
                  <a:pt x="677228" y="0"/>
                  <a:pt x="652463" y="0"/>
                </a:cubicBezTo>
                <a:cubicBezTo>
                  <a:pt x="627698" y="0"/>
                  <a:pt x="614363" y="12382"/>
                  <a:pt x="603885" y="22860"/>
                </a:cubicBezTo>
                <a:cubicBezTo>
                  <a:pt x="594360" y="32385"/>
                  <a:pt x="587693" y="39052"/>
                  <a:pt x="572453" y="39052"/>
                </a:cubicBezTo>
                <a:cubicBezTo>
                  <a:pt x="557213" y="39052"/>
                  <a:pt x="550545" y="32385"/>
                  <a:pt x="541020" y="22860"/>
                </a:cubicBezTo>
                <a:cubicBezTo>
                  <a:pt x="530543" y="12382"/>
                  <a:pt x="517208" y="0"/>
                  <a:pt x="492443" y="0"/>
                </a:cubicBezTo>
                <a:cubicBezTo>
                  <a:pt x="467678" y="0"/>
                  <a:pt x="454343" y="12382"/>
                  <a:pt x="443865" y="22860"/>
                </a:cubicBezTo>
                <a:cubicBezTo>
                  <a:pt x="434340" y="32385"/>
                  <a:pt x="427673" y="39052"/>
                  <a:pt x="412433" y="39052"/>
                </a:cubicBezTo>
                <a:cubicBezTo>
                  <a:pt x="397193" y="39052"/>
                  <a:pt x="390525" y="32385"/>
                  <a:pt x="381000" y="22860"/>
                </a:cubicBezTo>
                <a:cubicBezTo>
                  <a:pt x="370523" y="12382"/>
                  <a:pt x="357188" y="0"/>
                  <a:pt x="332423" y="0"/>
                </a:cubicBezTo>
                <a:cubicBezTo>
                  <a:pt x="307658" y="0"/>
                  <a:pt x="294323" y="12382"/>
                  <a:pt x="283845" y="22860"/>
                </a:cubicBezTo>
                <a:cubicBezTo>
                  <a:pt x="274320" y="32385"/>
                  <a:pt x="267653" y="39052"/>
                  <a:pt x="252413" y="39052"/>
                </a:cubicBezTo>
                <a:cubicBezTo>
                  <a:pt x="237173" y="39052"/>
                  <a:pt x="230505" y="32385"/>
                  <a:pt x="220980" y="22860"/>
                </a:cubicBezTo>
                <a:cubicBezTo>
                  <a:pt x="210503" y="12382"/>
                  <a:pt x="197168" y="0"/>
                  <a:pt x="172403" y="0"/>
                </a:cubicBezTo>
                <a:cubicBezTo>
                  <a:pt x="147638" y="0"/>
                  <a:pt x="134303" y="12382"/>
                  <a:pt x="123825" y="22860"/>
                </a:cubicBezTo>
                <a:cubicBezTo>
                  <a:pt x="114300" y="32385"/>
                  <a:pt x="107633" y="39052"/>
                  <a:pt x="92393" y="39052"/>
                </a:cubicBezTo>
                <a:cubicBezTo>
                  <a:pt x="77153" y="39052"/>
                  <a:pt x="70485" y="32385"/>
                  <a:pt x="60960" y="22860"/>
                </a:cubicBezTo>
                <a:cubicBezTo>
                  <a:pt x="50483" y="12382"/>
                  <a:pt x="37148" y="0"/>
                  <a:pt x="12383" y="0"/>
                </a:cubicBezTo>
                <a:cubicBezTo>
                  <a:pt x="5715" y="0"/>
                  <a:pt x="0" y="5715"/>
                  <a:pt x="0" y="12382"/>
                </a:cubicBezTo>
                <a:cubicBezTo>
                  <a:pt x="0" y="19050"/>
                  <a:pt x="5715" y="24765"/>
                  <a:pt x="12383" y="24765"/>
                </a:cubicBezTo>
                <a:cubicBezTo>
                  <a:pt x="27623" y="24765"/>
                  <a:pt x="34290" y="31432"/>
                  <a:pt x="43815" y="40957"/>
                </a:cubicBezTo>
                <a:cubicBezTo>
                  <a:pt x="54293" y="51435"/>
                  <a:pt x="67628" y="63817"/>
                  <a:pt x="92393" y="63817"/>
                </a:cubicBezTo>
                <a:cubicBezTo>
                  <a:pt x="117158" y="63817"/>
                  <a:pt x="130493" y="51435"/>
                  <a:pt x="140970" y="40957"/>
                </a:cubicBezTo>
                <a:cubicBezTo>
                  <a:pt x="150495" y="31432"/>
                  <a:pt x="157163" y="24765"/>
                  <a:pt x="172403" y="24765"/>
                </a:cubicBezTo>
                <a:cubicBezTo>
                  <a:pt x="187643" y="24765"/>
                  <a:pt x="194310" y="31432"/>
                  <a:pt x="203835" y="40957"/>
                </a:cubicBezTo>
                <a:cubicBezTo>
                  <a:pt x="214313" y="51435"/>
                  <a:pt x="227648" y="63817"/>
                  <a:pt x="252413" y="63817"/>
                </a:cubicBezTo>
                <a:cubicBezTo>
                  <a:pt x="277178" y="63817"/>
                  <a:pt x="290513" y="51435"/>
                  <a:pt x="300990" y="40957"/>
                </a:cubicBezTo>
                <a:cubicBezTo>
                  <a:pt x="310515" y="31432"/>
                  <a:pt x="317183" y="24765"/>
                  <a:pt x="332423" y="24765"/>
                </a:cubicBezTo>
                <a:cubicBezTo>
                  <a:pt x="347663" y="24765"/>
                  <a:pt x="354330" y="31432"/>
                  <a:pt x="363855" y="40957"/>
                </a:cubicBezTo>
                <a:cubicBezTo>
                  <a:pt x="374333" y="51435"/>
                  <a:pt x="387668" y="63817"/>
                  <a:pt x="412433" y="63817"/>
                </a:cubicBezTo>
                <a:cubicBezTo>
                  <a:pt x="437198" y="63817"/>
                  <a:pt x="450533" y="51435"/>
                  <a:pt x="461010" y="40957"/>
                </a:cubicBezTo>
                <a:cubicBezTo>
                  <a:pt x="470535" y="31432"/>
                  <a:pt x="477203" y="24765"/>
                  <a:pt x="492443" y="24765"/>
                </a:cubicBezTo>
                <a:cubicBezTo>
                  <a:pt x="507683" y="24765"/>
                  <a:pt x="514350" y="31432"/>
                  <a:pt x="523875" y="40957"/>
                </a:cubicBezTo>
                <a:cubicBezTo>
                  <a:pt x="534353" y="51435"/>
                  <a:pt x="547688" y="63817"/>
                  <a:pt x="572453" y="63817"/>
                </a:cubicBezTo>
                <a:cubicBezTo>
                  <a:pt x="597218" y="63817"/>
                  <a:pt x="610553" y="51435"/>
                  <a:pt x="621030" y="40957"/>
                </a:cubicBezTo>
                <a:cubicBezTo>
                  <a:pt x="630555" y="31432"/>
                  <a:pt x="637223" y="24765"/>
                  <a:pt x="652463" y="24765"/>
                </a:cubicBezTo>
                <a:cubicBezTo>
                  <a:pt x="667703" y="24765"/>
                  <a:pt x="674370" y="31432"/>
                  <a:pt x="683895" y="40957"/>
                </a:cubicBezTo>
                <a:cubicBezTo>
                  <a:pt x="694373" y="51435"/>
                  <a:pt x="707708" y="63817"/>
                  <a:pt x="732473" y="63817"/>
                </a:cubicBezTo>
                <a:cubicBezTo>
                  <a:pt x="757238" y="63817"/>
                  <a:pt x="770573" y="51435"/>
                  <a:pt x="781050" y="40957"/>
                </a:cubicBezTo>
                <a:cubicBezTo>
                  <a:pt x="790575" y="31432"/>
                  <a:pt x="797243" y="24765"/>
                  <a:pt x="812483" y="24765"/>
                </a:cubicBezTo>
                <a:cubicBezTo>
                  <a:pt x="827723" y="24765"/>
                  <a:pt x="834390" y="31432"/>
                  <a:pt x="843915" y="40957"/>
                </a:cubicBezTo>
                <a:cubicBezTo>
                  <a:pt x="854393" y="51435"/>
                  <a:pt x="867728" y="63817"/>
                  <a:pt x="892493" y="63817"/>
                </a:cubicBezTo>
                <a:cubicBezTo>
                  <a:pt x="917258" y="63817"/>
                  <a:pt x="930593" y="51435"/>
                  <a:pt x="941070" y="40957"/>
                </a:cubicBezTo>
                <a:cubicBezTo>
                  <a:pt x="950595" y="31432"/>
                  <a:pt x="957263" y="24765"/>
                  <a:pt x="972503" y="24765"/>
                </a:cubicBezTo>
                <a:cubicBezTo>
                  <a:pt x="979170" y="24765"/>
                  <a:pt x="984885" y="19050"/>
                  <a:pt x="984885" y="12382"/>
                </a:cubicBezTo>
                <a:cubicBezTo>
                  <a:pt x="983933" y="5715"/>
                  <a:pt x="979170" y="0"/>
                  <a:pt x="972503" y="0"/>
                </a:cubicBezTo>
                <a:close/>
              </a:path>
            </a:pathLst>
          </a:custGeom>
          <a:solidFill>
            <a:srgbClr val="3AACE2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  <xdr:twoCellAnchor editAs="oneCell">
    <xdr:from>
      <xdr:col>11</xdr:col>
      <xdr:colOff>404615</xdr:colOff>
      <xdr:row>5</xdr:row>
      <xdr:rowOff>401396</xdr:rowOff>
    </xdr:from>
    <xdr:to>
      <xdr:col>12</xdr:col>
      <xdr:colOff>455096</xdr:colOff>
      <xdr:row>6</xdr:row>
      <xdr:rowOff>178033</xdr:rowOff>
    </xdr:to>
    <xdr:grpSp>
      <xdr:nvGrpSpPr>
        <xdr:cNvPr id="34" name="Group 33" descr="Umbrella on beach emoji">
          <a:extLst>
            <a:ext uri="{FF2B5EF4-FFF2-40B4-BE49-F238E27FC236}">
              <a16:creationId xmlns:a16="http://schemas.microsoft.com/office/drawing/2014/main" id="{E4FF7FEB-D414-731D-8B6E-017F3F81F96A}"/>
            </a:ext>
          </a:extLst>
        </xdr:cNvPr>
        <xdr:cNvGrpSpPr/>
      </xdr:nvGrpSpPr>
      <xdr:grpSpPr>
        <a:xfrm>
          <a:off x="22629615" y="3268421"/>
          <a:ext cx="590231" cy="417987"/>
          <a:chOff x="3386556" y="1291776"/>
          <a:chExt cx="811177" cy="414082"/>
        </a:xfrm>
      </xdr:grpSpPr>
      <xdr:sp macro="" textlink="">
        <xdr:nvSpPr>
          <xdr:cNvPr id="463" name="Freeform: Shape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/>
        </xdr:nvSpPr>
        <xdr:spPr>
          <a:xfrm>
            <a:off x="3876364" y="1391357"/>
            <a:ext cx="105714" cy="214289"/>
          </a:xfrm>
          <a:custGeom>
            <a:avLst/>
            <a:gdLst>
              <a:gd name="connsiteX0" fmla="*/ 142875 w 142875"/>
              <a:gd name="connsiteY0" fmla="*/ 0 h 323850"/>
              <a:gd name="connsiteX1" fmla="*/ 0 w 142875"/>
              <a:gd name="connsiteY1" fmla="*/ 325755 h 3238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142875" h="323850">
                <a:moveTo>
                  <a:pt x="142875" y="0"/>
                </a:moveTo>
                <a:lnTo>
                  <a:pt x="0" y="325755"/>
                </a:lnTo>
              </a:path>
            </a:pathLst>
          </a:custGeom>
          <a:ln w="19050" cap="flat">
            <a:solidFill>
              <a:srgbClr val="3AACE2"/>
            </a:solidFill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64" name="Freeform: Shape 238">
            <a:extLst>
              <a:ext uri="{FF2B5EF4-FFF2-40B4-BE49-F238E27FC236}">
                <a16:creationId xmlns:a16="http://schemas.microsoft.com/office/drawing/2014/main" id="{00000000-0008-0000-0000-0000EF000000}"/>
              </a:ext>
            </a:extLst>
          </xdr:cNvPr>
          <xdr:cNvSpPr/>
        </xdr:nvSpPr>
        <xdr:spPr>
          <a:xfrm>
            <a:off x="3745279" y="1304381"/>
            <a:ext cx="260761" cy="50421"/>
          </a:xfrm>
          <a:custGeom>
            <a:avLst/>
            <a:gdLst>
              <a:gd name="connsiteX0" fmla="*/ 0 w 352425"/>
              <a:gd name="connsiteY0" fmla="*/ 5715 h 76200"/>
              <a:gd name="connsiteX1" fmla="*/ 360998 w 352425"/>
              <a:gd name="connsiteY1" fmla="*/ 0 h 76200"/>
              <a:gd name="connsiteX2" fmla="*/ 184785 w 352425"/>
              <a:gd name="connsiteY2" fmla="*/ 83820 h 762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352425" h="76200">
                <a:moveTo>
                  <a:pt x="0" y="5715"/>
                </a:moveTo>
                <a:lnTo>
                  <a:pt x="360998" y="0"/>
                </a:lnTo>
                <a:lnTo>
                  <a:pt x="184785" y="83820"/>
                </a:lnTo>
                <a:close/>
              </a:path>
            </a:pathLst>
          </a:custGeom>
          <a:solidFill>
            <a:srgbClr val="D94D17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65" name="Freeform: Shape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/>
        </xdr:nvSpPr>
        <xdr:spPr>
          <a:xfrm>
            <a:off x="3877773" y="1297448"/>
            <a:ext cx="211428" cy="138657"/>
          </a:xfrm>
          <a:custGeom>
            <a:avLst/>
            <a:gdLst>
              <a:gd name="connsiteX0" fmla="*/ 171450 w 285750"/>
              <a:gd name="connsiteY0" fmla="*/ 0 h 209550"/>
              <a:gd name="connsiteX1" fmla="*/ 198120 w 285750"/>
              <a:gd name="connsiteY1" fmla="*/ 11430 h 209550"/>
              <a:gd name="connsiteX2" fmla="*/ 194310 w 285750"/>
              <a:gd name="connsiteY2" fmla="*/ 20955 h 209550"/>
              <a:gd name="connsiteX3" fmla="*/ 285750 w 285750"/>
              <a:gd name="connsiteY3" fmla="*/ 210503 h 209550"/>
              <a:gd name="connsiteX4" fmla="*/ 0 w 285750"/>
              <a:gd name="connsiteY4" fmla="*/ 94298 h 209550"/>
              <a:gd name="connsiteX5" fmla="*/ 182880 w 285750"/>
              <a:gd name="connsiteY5" fmla="*/ 10478 h 2095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285750" h="209550">
                <a:moveTo>
                  <a:pt x="171450" y="0"/>
                </a:moveTo>
                <a:lnTo>
                  <a:pt x="198120" y="11430"/>
                </a:lnTo>
                <a:lnTo>
                  <a:pt x="194310" y="20955"/>
                </a:lnTo>
                <a:lnTo>
                  <a:pt x="285750" y="210503"/>
                </a:lnTo>
                <a:lnTo>
                  <a:pt x="0" y="94298"/>
                </a:lnTo>
                <a:lnTo>
                  <a:pt x="182880" y="10478"/>
                </a:lnTo>
                <a:close/>
              </a:path>
            </a:pathLst>
          </a:custGeom>
          <a:solidFill>
            <a:srgbClr val="3AACE2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66" name="Freeform: Shape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4021543" y="1311314"/>
            <a:ext cx="176190" cy="163868"/>
          </a:xfrm>
          <a:custGeom>
            <a:avLst/>
            <a:gdLst>
              <a:gd name="connsiteX0" fmla="*/ 240030 w 238125"/>
              <a:gd name="connsiteY0" fmla="*/ 254318 h 247650"/>
              <a:gd name="connsiteX1" fmla="*/ 0 w 238125"/>
              <a:gd name="connsiteY1" fmla="*/ 0 h 247650"/>
              <a:gd name="connsiteX2" fmla="*/ 91440 w 238125"/>
              <a:gd name="connsiteY2" fmla="*/ 189548 h 2476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238125" h="247650">
                <a:moveTo>
                  <a:pt x="240030" y="254318"/>
                </a:moveTo>
                <a:lnTo>
                  <a:pt x="0" y="0"/>
                </a:lnTo>
                <a:lnTo>
                  <a:pt x="91440" y="189548"/>
                </a:lnTo>
                <a:close/>
              </a:path>
            </a:pathLst>
          </a:custGeom>
          <a:solidFill>
            <a:srgbClr val="3AACE2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67" name="Freeform: Shape 241">
            <a:extLst>
              <a:ext uri="{FF2B5EF4-FFF2-40B4-BE49-F238E27FC236}">
                <a16:creationId xmlns:a16="http://schemas.microsoft.com/office/drawing/2014/main" id="{00000000-0008-0000-0000-0000F2000000}"/>
              </a:ext>
            </a:extLst>
          </xdr:cNvPr>
          <xdr:cNvSpPr/>
        </xdr:nvSpPr>
        <xdr:spPr>
          <a:xfrm>
            <a:off x="3742611" y="1307533"/>
            <a:ext cx="133904" cy="69329"/>
          </a:xfrm>
          <a:custGeom>
            <a:avLst/>
            <a:gdLst>
              <a:gd name="connsiteX0" fmla="*/ 186485 w 180975"/>
              <a:gd name="connsiteY0" fmla="*/ 79058 h 104775"/>
              <a:gd name="connsiteX1" fmla="*/ 3605 w 180975"/>
              <a:gd name="connsiteY1" fmla="*/ 0 h 104775"/>
              <a:gd name="connsiteX2" fmla="*/ 68375 w 180975"/>
              <a:gd name="connsiteY2" fmla="*/ 100965 h 104775"/>
              <a:gd name="connsiteX3" fmla="*/ 186485 w 180975"/>
              <a:gd name="connsiteY3" fmla="*/ 79058 h 1047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80975" h="104775">
                <a:moveTo>
                  <a:pt x="186485" y="79058"/>
                </a:moveTo>
                <a:lnTo>
                  <a:pt x="3605" y="0"/>
                </a:lnTo>
                <a:cubicBezTo>
                  <a:pt x="-10683" y="34290"/>
                  <a:pt x="18845" y="79058"/>
                  <a:pt x="68375" y="100965"/>
                </a:cubicBezTo>
                <a:cubicBezTo>
                  <a:pt x="118857" y="122873"/>
                  <a:pt x="171245" y="112395"/>
                  <a:pt x="186485" y="79058"/>
                </a:cubicBezTo>
                <a:close/>
              </a:path>
            </a:pathLst>
          </a:custGeom>
          <a:solidFill>
            <a:srgbClr val="3AACE2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68" name="Freeform: Shape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/>
        </xdr:nvSpPr>
        <xdr:spPr>
          <a:xfrm>
            <a:off x="3876655" y="1358584"/>
            <a:ext cx="98666" cy="63026"/>
          </a:xfrm>
          <a:custGeom>
            <a:avLst/>
            <a:gdLst>
              <a:gd name="connsiteX0" fmla="*/ 139624 w 133350"/>
              <a:gd name="connsiteY0" fmla="*/ 56197 h 95250"/>
              <a:gd name="connsiteX1" fmla="*/ 4369 w 133350"/>
              <a:gd name="connsiteY1" fmla="*/ 0 h 95250"/>
              <a:gd name="connsiteX2" fmla="*/ 46279 w 133350"/>
              <a:gd name="connsiteY2" fmla="*/ 89535 h 95250"/>
              <a:gd name="connsiteX3" fmla="*/ 139624 w 133350"/>
              <a:gd name="connsiteY3" fmla="*/ 56197 h 95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350" h="95250">
                <a:moveTo>
                  <a:pt x="139624" y="56197"/>
                </a:moveTo>
                <a:lnTo>
                  <a:pt x="4369" y="0"/>
                </a:lnTo>
                <a:cubicBezTo>
                  <a:pt x="-8966" y="34290"/>
                  <a:pt x="9132" y="74295"/>
                  <a:pt x="46279" y="89535"/>
                </a:cubicBezTo>
                <a:cubicBezTo>
                  <a:pt x="83427" y="104775"/>
                  <a:pt x="125337" y="89535"/>
                  <a:pt x="139624" y="56197"/>
                </a:cubicBezTo>
                <a:close/>
              </a:path>
            </a:pathLst>
          </a:custGeom>
          <a:solidFill>
            <a:srgbClr val="D94D17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69" name="Freeform: Shape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4085885" y="1436736"/>
            <a:ext cx="105714" cy="63026"/>
          </a:xfrm>
          <a:custGeom>
            <a:avLst/>
            <a:gdLst>
              <a:gd name="connsiteX0" fmla="*/ 151165 w 142875"/>
              <a:gd name="connsiteY0" fmla="*/ 62865 h 95250"/>
              <a:gd name="connsiteX1" fmla="*/ 4480 w 142875"/>
              <a:gd name="connsiteY1" fmla="*/ 0 h 95250"/>
              <a:gd name="connsiteX2" fmla="*/ 52105 w 142875"/>
              <a:gd name="connsiteY2" fmla="*/ 93345 h 95250"/>
              <a:gd name="connsiteX3" fmla="*/ 151165 w 142875"/>
              <a:gd name="connsiteY3" fmla="*/ 62865 h 95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42875" h="95250">
                <a:moveTo>
                  <a:pt x="151165" y="62865"/>
                </a:moveTo>
                <a:lnTo>
                  <a:pt x="4480" y="0"/>
                </a:lnTo>
                <a:cubicBezTo>
                  <a:pt x="-9807" y="34290"/>
                  <a:pt x="11148" y="75248"/>
                  <a:pt x="52105" y="93345"/>
                </a:cubicBezTo>
                <a:cubicBezTo>
                  <a:pt x="92110" y="109538"/>
                  <a:pt x="136878" y="97155"/>
                  <a:pt x="151165" y="62865"/>
                </a:cubicBezTo>
                <a:close/>
              </a:path>
            </a:pathLst>
          </a:custGeom>
          <a:solidFill>
            <a:srgbClr val="D94D17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70" name="Freeform: Shape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3978553" y="1305642"/>
            <a:ext cx="105714" cy="126052"/>
          </a:xfrm>
          <a:custGeom>
            <a:avLst/>
            <a:gdLst>
              <a:gd name="connsiteX0" fmla="*/ 42863 w 142875"/>
              <a:gd name="connsiteY0" fmla="*/ 0 h 190500"/>
              <a:gd name="connsiteX1" fmla="*/ 0 w 142875"/>
              <a:gd name="connsiteY1" fmla="*/ 136208 h 190500"/>
              <a:gd name="connsiteX2" fmla="*/ 149542 w 142875"/>
              <a:gd name="connsiteY2" fmla="*/ 198120 h 190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142875" h="190500">
                <a:moveTo>
                  <a:pt x="42863" y="0"/>
                </a:moveTo>
                <a:lnTo>
                  <a:pt x="0" y="136208"/>
                </a:lnTo>
                <a:lnTo>
                  <a:pt x="149542" y="198120"/>
                </a:lnTo>
                <a:close/>
              </a:path>
            </a:pathLst>
          </a:custGeom>
          <a:solidFill>
            <a:srgbClr val="D94D17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71" name="Freeform: Shape 245">
            <a:extLst>
              <a:ext uri="{FF2B5EF4-FFF2-40B4-BE49-F238E27FC236}">
                <a16:creationId xmlns:a16="http://schemas.microsoft.com/office/drawing/2014/main" id="{00000000-0008-0000-0000-0000F6000000}"/>
              </a:ext>
            </a:extLst>
          </xdr:cNvPr>
          <xdr:cNvSpPr/>
        </xdr:nvSpPr>
        <xdr:spPr>
          <a:xfrm>
            <a:off x="3977707" y="1396399"/>
            <a:ext cx="105714" cy="63026"/>
          </a:xfrm>
          <a:custGeom>
            <a:avLst/>
            <a:gdLst>
              <a:gd name="connsiteX0" fmla="*/ 148781 w 142875"/>
              <a:gd name="connsiteY0" fmla="*/ 60007 h 95250"/>
              <a:gd name="connsiteX1" fmla="*/ 4001 w 142875"/>
              <a:gd name="connsiteY1" fmla="*/ 0 h 95250"/>
              <a:gd name="connsiteX2" fmla="*/ 52579 w 142875"/>
              <a:gd name="connsiteY2" fmla="*/ 92392 h 95250"/>
              <a:gd name="connsiteX3" fmla="*/ 148781 w 142875"/>
              <a:gd name="connsiteY3" fmla="*/ 60007 h 95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42875" h="95250">
                <a:moveTo>
                  <a:pt x="148781" y="60007"/>
                </a:moveTo>
                <a:lnTo>
                  <a:pt x="4001" y="0"/>
                </a:lnTo>
                <a:cubicBezTo>
                  <a:pt x="-9334" y="34290"/>
                  <a:pt x="11621" y="75248"/>
                  <a:pt x="52579" y="92392"/>
                </a:cubicBezTo>
                <a:cubicBezTo>
                  <a:pt x="93536" y="108585"/>
                  <a:pt x="134494" y="94298"/>
                  <a:pt x="148781" y="60007"/>
                </a:cubicBezTo>
                <a:close/>
              </a:path>
            </a:pathLst>
          </a:custGeom>
          <a:solidFill>
            <a:srgbClr val="3AACE2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72" name="Freeform: Shape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/>
        </xdr:nvSpPr>
        <xdr:spPr>
          <a:xfrm>
            <a:off x="3386556" y="1600604"/>
            <a:ext cx="725902" cy="37816"/>
          </a:xfrm>
          <a:custGeom>
            <a:avLst/>
            <a:gdLst>
              <a:gd name="connsiteX0" fmla="*/ 969645 w 981075"/>
              <a:gd name="connsiteY0" fmla="*/ 0 h 57150"/>
              <a:gd name="connsiteX1" fmla="*/ 921068 w 981075"/>
              <a:gd name="connsiteY1" fmla="*/ 22860 h 57150"/>
              <a:gd name="connsiteX2" fmla="*/ 889635 w 981075"/>
              <a:gd name="connsiteY2" fmla="*/ 39052 h 57150"/>
              <a:gd name="connsiteX3" fmla="*/ 858203 w 981075"/>
              <a:gd name="connsiteY3" fmla="*/ 22860 h 57150"/>
              <a:gd name="connsiteX4" fmla="*/ 809625 w 981075"/>
              <a:gd name="connsiteY4" fmla="*/ 0 h 57150"/>
              <a:gd name="connsiteX5" fmla="*/ 761048 w 981075"/>
              <a:gd name="connsiteY5" fmla="*/ 22860 h 57150"/>
              <a:gd name="connsiteX6" fmla="*/ 729615 w 981075"/>
              <a:gd name="connsiteY6" fmla="*/ 39052 h 57150"/>
              <a:gd name="connsiteX7" fmla="*/ 698183 w 981075"/>
              <a:gd name="connsiteY7" fmla="*/ 22860 h 57150"/>
              <a:gd name="connsiteX8" fmla="*/ 649605 w 981075"/>
              <a:gd name="connsiteY8" fmla="*/ 0 h 57150"/>
              <a:gd name="connsiteX9" fmla="*/ 601028 w 981075"/>
              <a:gd name="connsiteY9" fmla="*/ 22860 h 57150"/>
              <a:gd name="connsiteX10" fmla="*/ 569595 w 981075"/>
              <a:gd name="connsiteY10" fmla="*/ 39052 h 57150"/>
              <a:gd name="connsiteX11" fmla="*/ 538163 w 981075"/>
              <a:gd name="connsiteY11" fmla="*/ 22860 h 57150"/>
              <a:gd name="connsiteX12" fmla="*/ 489585 w 981075"/>
              <a:gd name="connsiteY12" fmla="*/ 0 h 57150"/>
              <a:gd name="connsiteX13" fmla="*/ 441008 w 981075"/>
              <a:gd name="connsiteY13" fmla="*/ 22860 h 57150"/>
              <a:gd name="connsiteX14" fmla="*/ 409575 w 981075"/>
              <a:gd name="connsiteY14" fmla="*/ 39052 h 57150"/>
              <a:gd name="connsiteX15" fmla="*/ 378143 w 981075"/>
              <a:gd name="connsiteY15" fmla="*/ 22860 h 57150"/>
              <a:gd name="connsiteX16" fmla="*/ 329565 w 981075"/>
              <a:gd name="connsiteY16" fmla="*/ 0 h 57150"/>
              <a:gd name="connsiteX17" fmla="*/ 280988 w 981075"/>
              <a:gd name="connsiteY17" fmla="*/ 22860 h 57150"/>
              <a:gd name="connsiteX18" fmla="*/ 249555 w 981075"/>
              <a:gd name="connsiteY18" fmla="*/ 39052 h 57150"/>
              <a:gd name="connsiteX19" fmla="*/ 218123 w 981075"/>
              <a:gd name="connsiteY19" fmla="*/ 22860 h 57150"/>
              <a:gd name="connsiteX20" fmla="*/ 172403 w 981075"/>
              <a:gd name="connsiteY20" fmla="*/ 0 h 57150"/>
              <a:gd name="connsiteX21" fmla="*/ 123825 w 981075"/>
              <a:gd name="connsiteY21" fmla="*/ 22860 h 57150"/>
              <a:gd name="connsiteX22" fmla="*/ 92393 w 981075"/>
              <a:gd name="connsiteY22" fmla="*/ 39052 h 57150"/>
              <a:gd name="connsiteX23" fmla="*/ 60960 w 981075"/>
              <a:gd name="connsiteY23" fmla="*/ 22860 h 57150"/>
              <a:gd name="connsiteX24" fmla="*/ 12383 w 981075"/>
              <a:gd name="connsiteY24" fmla="*/ 0 h 57150"/>
              <a:gd name="connsiteX25" fmla="*/ 0 w 981075"/>
              <a:gd name="connsiteY25" fmla="*/ 12382 h 57150"/>
              <a:gd name="connsiteX26" fmla="*/ 12383 w 981075"/>
              <a:gd name="connsiteY26" fmla="*/ 24765 h 57150"/>
              <a:gd name="connsiteX27" fmla="*/ 43815 w 981075"/>
              <a:gd name="connsiteY27" fmla="*/ 40957 h 57150"/>
              <a:gd name="connsiteX28" fmla="*/ 92393 w 981075"/>
              <a:gd name="connsiteY28" fmla="*/ 63818 h 57150"/>
              <a:gd name="connsiteX29" fmla="*/ 140970 w 981075"/>
              <a:gd name="connsiteY29" fmla="*/ 40957 h 57150"/>
              <a:gd name="connsiteX30" fmla="*/ 172403 w 981075"/>
              <a:gd name="connsiteY30" fmla="*/ 24765 h 57150"/>
              <a:gd name="connsiteX31" fmla="*/ 203835 w 981075"/>
              <a:gd name="connsiteY31" fmla="*/ 40957 h 57150"/>
              <a:gd name="connsiteX32" fmla="*/ 252413 w 981075"/>
              <a:gd name="connsiteY32" fmla="*/ 63818 h 57150"/>
              <a:gd name="connsiteX33" fmla="*/ 300990 w 981075"/>
              <a:gd name="connsiteY33" fmla="*/ 40957 h 57150"/>
              <a:gd name="connsiteX34" fmla="*/ 332423 w 981075"/>
              <a:gd name="connsiteY34" fmla="*/ 24765 h 57150"/>
              <a:gd name="connsiteX35" fmla="*/ 363855 w 981075"/>
              <a:gd name="connsiteY35" fmla="*/ 40957 h 57150"/>
              <a:gd name="connsiteX36" fmla="*/ 412433 w 981075"/>
              <a:gd name="connsiteY36" fmla="*/ 63818 h 57150"/>
              <a:gd name="connsiteX37" fmla="*/ 461010 w 981075"/>
              <a:gd name="connsiteY37" fmla="*/ 40957 h 57150"/>
              <a:gd name="connsiteX38" fmla="*/ 492443 w 981075"/>
              <a:gd name="connsiteY38" fmla="*/ 24765 h 57150"/>
              <a:gd name="connsiteX39" fmla="*/ 523875 w 981075"/>
              <a:gd name="connsiteY39" fmla="*/ 40957 h 57150"/>
              <a:gd name="connsiteX40" fmla="*/ 572453 w 981075"/>
              <a:gd name="connsiteY40" fmla="*/ 63818 h 57150"/>
              <a:gd name="connsiteX41" fmla="*/ 621030 w 981075"/>
              <a:gd name="connsiteY41" fmla="*/ 40957 h 57150"/>
              <a:gd name="connsiteX42" fmla="*/ 652463 w 981075"/>
              <a:gd name="connsiteY42" fmla="*/ 24765 h 57150"/>
              <a:gd name="connsiteX43" fmla="*/ 683895 w 981075"/>
              <a:gd name="connsiteY43" fmla="*/ 40957 h 57150"/>
              <a:gd name="connsiteX44" fmla="*/ 732473 w 981075"/>
              <a:gd name="connsiteY44" fmla="*/ 63818 h 57150"/>
              <a:gd name="connsiteX45" fmla="*/ 781050 w 981075"/>
              <a:gd name="connsiteY45" fmla="*/ 40957 h 57150"/>
              <a:gd name="connsiteX46" fmla="*/ 812483 w 981075"/>
              <a:gd name="connsiteY46" fmla="*/ 24765 h 57150"/>
              <a:gd name="connsiteX47" fmla="*/ 843915 w 981075"/>
              <a:gd name="connsiteY47" fmla="*/ 40957 h 57150"/>
              <a:gd name="connsiteX48" fmla="*/ 892493 w 981075"/>
              <a:gd name="connsiteY48" fmla="*/ 63818 h 57150"/>
              <a:gd name="connsiteX49" fmla="*/ 941070 w 981075"/>
              <a:gd name="connsiteY49" fmla="*/ 40957 h 57150"/>
              <a:gd name="connsiteX50" fmla="*/ 972503 w 981075"/>
              <a:gd name="connsiteY50" fmla="*/ 24765 h 57150"/>
              <a:gd name="connsiteX51" fmla="*/ 984885 w 981075"/>
              <a:gd name="connsiteY51" fmla="*/ 12382 h 57150"/>
              <a:gd name="connsiteX52" fmla="*/ 969645 w 981075"/>
              <a:gd name="connsiteY52" fmla="*/ 0 h 57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</a:cxnLst>
            <a:rect l="l" t="t" r="r" b="b"/>
            <a:pathLst>
              <a:path w="981075" h="57150">
                <a:moveTo>
                  <a:pt x="969645" y="0"/>
                </a:moveTo>
                <a:cubicBezTo>
                  <a:pt x="944880" y="0"/>
                  <a:pt x="931545" y="12382"/>
                  <a:pt x="921068" y="22860"/>
                </a:cubicBezTo>
                <a:cubicBezTo>
                  <a:pt x="911543" y="32385"/>
                  <a:pt x="904875" y="39052"/>
                  <a:pt x="889635" y="39052"/>
                </a:cubicBezTo>
                <a:cubicBezTo>
                  <a:pt x="874395" y="39052"/>
                  <a:pt x="867728" y="32385"/>
                  <a:pt x="858203" y="22860"/>
                </a:cubicBezTo>
                <a:cubicBezTo>
                  <a:pt x="847725" y="12382"/>
                  <a:pt x="834390" y="0"/>
                  <a:pt x="809625" y="0"/>
                </a:cubicBezTo>
                <a:cubicBezTo>
                  <a:pt x="784860" y="0"/>
                  <a:pt x="771525" y="12382"/>
                  <a:pt x="761048" y="22860"/>
                </a:cubicBezTo>
                <a:cubicBezTo>
                  <a:pt x="751523" y="32385"/>
                  <a:pt x="744855" y="39052"/>
                  <a:pt x="729615" y="39052"/>
                </a:cubicBezTo>
                <a:cubicBezTo>
                  <a:pt x="714375" y="39052"/>
                  <a:pt x="707708" y="32385"/>
                  <a:pt x="698183" y="22860"/>
                </a:cubicBezTo>
                <a:cubicBezTo>
                  <a:pt x="687705" y="12382"/>
                  <a:pt x="674370" y="0"/>
                  <a:pt x="649605" y="0"/>
                </a:cubicBezTo>
                <a:cubicBezTo>
                  <a:pt x="624840" y="0"/>
                  <a:pt x="611505" y="12382"/>
                  <a:pt x="601028" y="22860"/>
                </a:cubicBezTo>
                <a:cubicBezTo>
                  <a:pt x="591503" y="32385"/>
                  <a:pt x="584835" y="39052"/>
                  <a:pt x="569595" y="39052"/>
                </a:cubicBezTo>
                <a:cubicBezTo>
                  <a:pt x="554355" y="39052"/>
                  <a:pt x="547688" y="32385"/>
                  <a:pt x="538163" y="22860"/>
                </a:cubicBezTo>
                <a:cubicBezTo>
                  <a:pt x="527685" y="12382"/>
                  <a:pt x="514350" y="0"/>
                  <a:pt x="489585" y="0"/>
                </a:cubicBezTo>
                <a:cubicBezTo>
                  <a:pt x="464820" y="0"/>
                  <a:pt x="451485" y="12382"/>
                  <a:pt x="441008" y="22860"/>
                </a:cubicBezTo>
                <a:cubicBezTo>
                  <a:pt x="431483" y="32385"/>
                  <a:pt x="424815" y="39052"/>
                  <a:pt x="409575" y="39052"/>
                </a:cubicBezTo>
                <a:cubicBezTo>
                  <a:pt x="394335" y="39052"/>
                  <a:pt x="387668" y="32385"/>
                  <a:pt x="378143" y="22860"/>
                </a:cubicBezTo>
                <a:cubicBezTo>
                  <a:pt x="367665" y="12382"/>
                  <a:pt x="354330" y="0"/>
                  <a:pt x="329565" y="0"/>
                </a:cubicBezTo>
                <a:cubicBezTo>
                  <a:pt x="304800" y="0"/>
                  <a:pt x="291465" y="12382"/>
                  <a:pt x="280988" y="22860"/>
                </a:cubicBezTo>
                <a:cubicBezTo>
                  <a:pt x="271463" y="32385"/>
                  <a:pt x="264795" y="39052"/>
                  <a:pt x="249555" y="39052"/>
                </a:cubicBezTo>
                <a:cubicBezTo>
                  <a:pt x="234315" y="39052"/>
                  <a:pt x="227648" y="32385"/>
                  <a:pt x="218123" y="22860"/>
                </a:cubicBezTo>
                <a:cubicBezTo>
                  <a:pt x="209550" y="12382"/>
                  <a:pt x="197168" y="0"/>
                  <a:pt x="172403" y="0"/>
                </a:cubicBezTo>
                <a:cubicBezTo>
                  <a:pt x="147638" y="0"/>
                  <a:pt x="134303" y="12382"/>
                  <a:pt x="123825" y="22860"/>
                </a:cubicBezTo>
                <a:cubicBezTo>
                  <a:pt x="114300" y="32385"/>
                  <a:pt x="107633" y="39052"/>
                  <a:pt x="92393" y="39052"/>
                </a:cubicBezTo>
                <a:cubicBezTo>
                  <a:pt x="77153" y="39052"/>
                  <a:pt x="70485" y="32385"/>
                  <a:pt x="60960" y="22860"/>
                </a:cubicBezTo>
                <a:cubicBezTo>
                  <a:pt x="50483" y="12382"/>
                  <a:pt x="37148" y="0"/>
                  <a:pt x="12383" y="0"/>
                </a:cubicBezTo>
                <a:cubicBezTo>
                  <a:pt x="5715" y="0"/>
                  <a:pt x="0" y="5715"/>
                  <a:pt x="0" y="12382"/>
                </a:cubicBezTo>
                <a:cubicBezTo>
                  <a:pt x="0" y="19050"/>
                  <a:pt x="5715" y="24765"/>
                  <a:pt x="12383" y="24765"/>
                </a:cubicBezTo>
                <a:cubicBezTo>
                  <a:pt x="27623" y="24765"/>
                  <a:pt x="34290" y="31432"/>
                  <a:pt x="43815" y="40957"/>
                </a:cubicBezTo>
                <a:cubicBezTo>
                  <a:pt x="54293" y="51435"/>
                  <a:pt x="67628" y="63818"/>
                  <a:pt x="92393" y="63818"/>
                </a:cubicBezTo>
                <a:cubicBezTo>
                  <a:pt x="117158" y="63818"/>
                  <a:pt x="130493" y="51435"/>
                  <a:pt x="140970" y="40957"/>
                </a:cubicBezTo>
                <a:cubicBezTo>
                  <a:pt x="150495" y="31432"/>
                  <a:pt x="157163" y="24765"/>
                  <a:pt x="172403" y="24765"/>
                </a:cubicBezTo>
                <a:cubicBezTo>
                  <a:pt x="187643" y="24765"/>
                  <a:pt x="194310" y="31432"/>
                  <a:pt x="203835" y="40957"/>
                </a:cubicBezTo>
                <a:cubicBezTo>
                  <a:pt x="214313" y="51435"/>
                  <a:pt x="227648" y="63818"/>
                  <a:pt x="252413" y="63818"/>
                </a:cubicBezTo>
                <a:cubicBezTo>
                  <a:pt x="277178" y="63818"/>
                  <a:pt x="290513" y="51435"/>
                  <a:pt x="300990" y="40957"/>
                </a:cubicBezTo>
                <a:cubicBezTo>
                  <a:pt x="310515" y="31432"/>
                  <a:pt x="317183" y="24765"/>
                  <a:pt x="332423" y="24765"/>
                </a:cubicBezTo>
                <a:cubicBezTo>
                  <a:pt x="347663" y="24765"/>
                  <a:pt x="354330" y="31432"/>
                  <a:pt x="363855" y="40957"/>
                </a:cubicBezTo>
                <a:cubicBezTo>
                  <a:pt x="374333" y="51435"/>
                  <a:pt x="387668" y="63818"/>
                  <a:pt x="412433" y="63818"/>
                </a:cubicBezTo>
                <a:cubicBezTo>
                  <a:pt x="437198" y="63818"/>
                  <a:pt x="450533" y="51435"/>
                  <a:pt x="461010" y="40957"/>
                </a:cubicBezTo>
                <a:cubicBezTo>
                  <a:pt x="470535" y="31432"/>
                  <a:pt x="477203" y="24765"/>
                  <a:pt x="492443" y="24765"/>
                </a:cubicBezTo>
                <a:cubicBezTo>
                  <a:pt x="507683" y="24765"/>
                  <a:pt x="514350" y="31432"/>
                  <a:pt x="523875" y="40957"/>
                </a:cubicBezTo>
                <a:cubicBezTo>
                  <a:pt x="534353" y="51435"/>
                  <a:pt x="547688" y="63818"/>
                  <a:pt x="572453" y="63818"/>
                </a:cubicBezTo>
                <a:cubicBezTo>
                  <a:pt x="597218" y="63818"/>
                  <a:pt x="610553" y="51435"/>
                  <a:pt x="621030" y="40957"/>
                </a:cubicBezTo>
                <a:cubicBezTo>
                  <a:pt x="630555" y="31432"/>
                  <a:pt x="637223" y="24765"/>
                  <a:pt x="652463" y="24765"/>
                </a:cubicBezTo>
                <a:cubicBezTo>
                  <a:pt x="667703" y="24765"/>
                  <a:pt x="674370" y="31432"/>
                  <a:pt x="683895" y="40957"/>
                </a:cubicBezTo>
                <a:cubicBezTo>
                  <a:pt x="694373" y="51435"/>
                  <a:pt x="707708" y="63818"/>
                  <a:pt x="732473" y="63818"/>
                </a:cubicBezTo>
                <a:cubicBezTo>
                  <a:pt x="757238" y="63818"/>
                  <a:pt x="770573" y="51435"/>
                  <a:pt x="781050" y="40957"/>
                </a:cubicBezTo>
                <a:cubicBezTo>
                  <a:pt x="790575" y="31432"/>
                  <a:pt x="797243" y="24765"/>
                  <a:pt x="812483" y="24765"/>
                </a:cubicBezTo>
                <a:cubicBezTo>
                  <a:pt x="827723" y="24765"/>
                  <a:pt x="834390" y="31432"/>
                  <a:pt x="843915" y="40957"/>
                </a:cubicBezTo>
                <a:cubicBezTo>
                  <a:pt x="854393" y="51435"/>
                  <a:pt x="867728" y="63818"/>
                  <a:pt x="892493" y="63818"/>
                </a:cubicBezTo>
                <a:cubicBezTo>
                  <a:pt x="917258" y="63818"/>
                  <a:pt x="930593" y="51435"/>
                  <a:pt x="941070" y="40957"/>
                </a:cubicBezTo>
                <a:cubicBezTo>
                  <a:pt x="950595" y="31432"/>
                  <a:pt x="957263" y="24765"/>
                  <a:pt x="972503" y="24765"/>
                </a:cubicBezTo>
                <a:cubicBezTo>
                  <a:pt x="979170" y="24765"/>
                  <a:pt x="984885" y="19050"/>
                  <a:pt x="984885" y="12382"/>
                </a:cubicBezTo>
                <a:cubicBezTo>
                  <a:pt x="981075" y="5715"/>
                  <a:pt x="976313" y="0"/>
                  <a:pt x="969645" y="0"/>
                </a:cubicBezTo>
                <a:close/>
              </a:path>
            </a:pathLst>
          </a:custGeom>
          <a:solidFill>
            <a:srgbClr val="3AACE2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73" name="Freeform: Shape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3386556" y="1668042"/>
            <a:ext cx="725902" cy="37816"/>
          </a:xfrm>
          <a:custGeom>
            <a:avLst/>
            <a:gdLst>
              <a:gd name="connsiteX0" fmla="*/ 969645 w 981075"/>
              <a:gd name="connsiteY0" fmla="*/ 0 h 57150"/>
              <a:gd name="connsiteX1" fmla="*/ 921068 w 981075"/>
              <a:gd name="connsiteY1" fmla="*/ 22860 h 57150"/>
              <a:gd name="connsiteX2" fmla="*/ 889635 w 981075"/>
              <a:gd name="connsiteY2" fmla="*/ 39052 h 57150"/>
              <a:gd name="connsiteX3" fmla="*/ 858203 w 981075"/>
              <a:gd name="connsiteY3" fmla="*/ 22860 h 57150"/>
              <a:gd name="connsiteX4" fmla="*/ 809625 w 981075"/>
              <a:gd name="connsiteY4" fmla="*/ 0 h 57150"/>
              <a:gd name="connsiteX5" fmla="*/ 761048 w 981075"/>
              <a:gd name="connsiteY5" fmla="*/ 22860 h 57150"/>
              <a:gd name="connsiteX6" fmla="*/ 729615 w 981075"/>
              <a:gd name="connsiteY6" fmla="*/ 39052 h 57150"/>
              <a:gd name="connsiteX7" fmla="*/ 698183 w 981075"/>
              <a:gd name="connsiteY7" fmla="*/ 22860 h 57150"/>
              <a:gd name="connsiteX8" fmla="*/ 649605 w 981075"/>
              <a:gd name="connsiteY8" fmla="*/ 0 h 57150"/>
              <a:gd name="connsiteX9" fmla="*/ 601028 w 981075"/>
              <a:gd name="connsiteY9" fmla="*/ 22860 h 57150"/>
              <a:gd name="connsiteX10" fmla="*/ 569595 w 981075"/>
              <a:gd name="connsiteY10" fmla="*/ 39052 h 57150"/>
              <a:gd name="connsiteX11" fmla="*/ 538163 w 981075"/>
              <a:gd name="connsiteY11" fmla="*/ 22860 h 57150"/>
              <a:gd name="connsiteX12" fmla="*/ 489585 w 981075"/>
              <a:gd name="connsiteY12" fmla="*/ 0 h 57150"/>
              <a:gd name="connsiteX13" fmla="*/ 441008 w 981075"/>
              <a:gd name="connsiteY13" fmla="*/ 22860 h 57150"/>
              <a:gd name="connsiteX14" fmla="*/ 409575 w 981075"/>
              <a:gd name="connsiteY14" fmla="*/ 39052 h 57150"/>
              <a:gd name="connsiteX15" fmla="*/ 378143 w 981075"/>
              <a:gd name="connsiteY15" fmla="*/ 22860 h 57150"/>
              <a:gd name="connsiteX16" fmla="*/ 329565 w 981075"/>
              <a:gd name="connsiteY16" fmla="*/ 0 h 57150"/>
              <a:gd name="connsiteX17" fmla="*/ 280988 w 981075"/>
              <a:gd name="connsiteY17" fmla="*/ 22860 h 57150"/>
              <a:gd name="connsiteX18" fmla="*/ 249555 w 981075"/>
              <a:gd name="connsiteY18" fmla="*/ 39052 h 57150"/>
              <a:gd name="connsiteX19" fmla="*/ 218123 w 981075"/>
              <a:gd name="connsiteY19" fmla="*/ 22860 h 57150"/>
              <a:gd name="connsiteX20" fmla="*/ 169545 w 981075"/>
              <a:gd name="connsiteY20" fmla="*/ 0 h 57150"/>
              <a:gd name="connsiteX21" fmla="*/ 120968 w 981075"/>
              <a:gd name="connsiteY21" fmla="*/ 22860 h 57150"/>
              <a:gd name="connsiteX22" fmla="*/ 89535 w 981075"/>
              <a:gd name="connsiteY22" fmla="*/ 39052 h 57150"/>
              <a:gd name="connsiteX23" fmla="*/ 58103 w 981075"/>
              <a:gd name="connsiteY23" fmla="*/ 22860 h 57150"/>
              <a:gd name="connsiteX24" fmla="*/ 9525 w 981075"/>
              <a:gd name="connsiteY24" fmla="*/ 0 h 57150"/>
              <a:gd name="connsiteX25" fmla="*/ 0 w 981075"/>
              <a:gd name="connsiteY25" fmla="*/ 12382 h 57150"/>
              <a:gd name="connsiteX26" fmla="*/ 12383 w 981075"/>
              <a:gd name="connsiteY26" fmla="*/ 24765 h 57150"/>
              <a:gd name="connsiteX27" fmla="*/ 43815 w 981075"/>
              <a:gd name="connsiteY27" fmla="*/ 40957 h 57150"/>
              <a:gd name="connsiteX28" fmla="*/ 92393 w 981075"/>
              <a:gd name="connsiteY28" fmla="*/ 63818 h 57150"/>
              <a:gd name="connsiteX29" fmla="*/ 140970 w 981075"/>
              <a:gd name="connsiteY29" fmla="*/ 40957 h 57150"/>
              <a:gd name="connsiteX30" fmla="*/ 172403 w 981075"/>
              <a:gd name="connsiteY30" fmla="*/ 24765 h 57150"/>
              <a:gd name="connsiteX31" fmla="*/ 203835 w 981075"/>
              <a:gd name="connsiteY31" fmla="*/ 40957 h 57150"/>
              <a:gd name="connsiteX32" fmla="*/ 252413 w 981075"/>
              <a:gd name="connsiteY32" fmla="*/ 63818 h 57150"/>
              <a:gd name="connsiteX33" fmla="*/ 300990 w 981075"/>
              <a:gd name="connsiteY33" fmla="*/ 40957 h 57150"/>
              <a:gd name="connsiteX34" fmla="*/ 332423 w 981075"/>
              <a:gd name="connsiteY34" fmla="*/ 24765 h 57150"/>
              <a:gd name="connsiteX35" fmla="*/ 363855 w 981075"/>
              <a:gd name="connsiteY35" fmla="*/ 40957 h 57150"/>
              <a:gd name="connsiteX36" fmla="*/ 412433 w 981075"/>
              <a:gd name="connsiteY36" fmla="*/ 63818 h 57150"/>
              <a:gd name="connsiteX37" fmla="*/ 461010 w 981075"/>
              <a:gd name="connsiteY37" fmla="*/ 40957 h 57150"/>
              <a:gd name="connsiteX38" fmla="*/ 492443 w 981075"/>
              <a:gd name="connsiteY38" fmla="*/ 24765 h 57150"/>
              <a:gd name="connsiteX39" fmla="*/ 523875 w 981075"/>
              <a:gd name="connsiteY39" fmla="*/ 40957 h 57150"/>
              <a:gd name="connsiteX40" fmla="*/ 572453 w 981075"/>
              <a:gd name="connsiteY40" fmla="*/ 63818 h 57150"/>
              <a:gd name="connsiteX41" fmla="*/ 621030 w 981075"/>
              <a:gd name="connsiteY41" fmla="*/ 40957 h 57150"/>
              <a:gd name="connsiteX42" fmla="*/ 652463 w 981075"/>
              <a:gd name="connsiteY42" fmla="*/ 24765 h 57150"/>
              <a:gd name="connsiteX43" fmla="*/ 683895 w 981075"/>
              <a:gd name="connsiteY43" fmla="*/ 40957 h 57150"/>
              <a:gd name="connsiteX44" fmla="*/ 732473 w 981075"/>
              <a:gd name="connsiteY44" fmla="*/ 63818 h 57150"/>
              <a:gd name="connsiteX45" fmla="*/ 781050 w 981075"/>
              <a:gd name="connsiteY45" fmla="*/ 40957 h 57150"/>
              <a:gd name="connsiteX46" fmla="*/ 812483 w 981075"/>
              <a:gd name="connsiteY46" fmla="*/ 24765 h 57150"/>
              <a:gd name="connsiteX47" fmla="*/ 843915 w 981075"/>
              <a:gd name="connsiteY47" fmla="*/ 40957 h 57150"/>
              <a:gd name="connsiteX48" fmla="*/ 892493 w 981075"/>
              <a:gd name="connsiteY48" fmla="*/ 63818 h 57150"/>
              <a:gd name="connsiteX49" fmla="*/ 941070 w 981075"/>
              <a:gd name="connsiteY49" fmla="*/ 40957 h 57150"/>
              <a:gd name="connsiteX50" fmla="*/ 972503 w 981075"/>
              <a:gd name="connsiteY50" fmla="*/ 24765 h 57150"/>
              <a:gd name="connsiteX51" fmla="*/ 984885 w 981075"/>
              <a:gd name="connsiteY51" fmla="*/ 12382 h 57150"/>
              <a:gd name="connsiteX52" fmla="*/ 969645 w 981075"/>
              <a:gd name="connsiteY52" fmla="*/ 0 h 57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</a:cxnLst>
            <a:rect l="l" t="t" r="r" b="b"/>
            <a:pathLst>
              <a:path w="981075" h="57150">
                <a:moveTo>
                  <a:pt x="969645" y="0"/>
                </a:moveTo>
                <a:cubicBezTo>
                  <a:pt x="944880" y="0"/>
                  <a:pt x="931545" y="12382"/>
                  <a:pt x="921068" y="22860"/>
                </a:cubicBezTo>
                <a:cubicBezTo>
                  <a:pt x="911543" y="32385"/>
                  <a:pt x="904875" y="39052"/>
                  <a:pt x="889635" y="39052"/>
                </a:cubicBezTo>
                <a:cubicBezTo>
                  <a:pt x="874395" y="39052"/>
                  <a:pt x="867728" y="32385"/>
                  <a:pt x="858203" y="22860"/>
                </a:cubicBezTo>
                <a:cubicBezTo>
                  <a:pt x="847725" y="12382"/>
                  <a:pt x="834390" y="0"/>
                  <a:pt x="809625" y="0"/>
                </a:cubicBezTo>
                <a:cubicBezTo>
                  <a:pt x="784860" y="0"/>
                  <a:pt x="771525" y="12382"/>
                  <a:pt x="761048" y="22860"/>
                </a:cubicBezTo>
                <a:cubicBezTo>
                  <a:pt x="751523" y="32385"/>
                  <a:pt x="744855" y="39052"/>
                  <a:pt x="729615" y="39052"/>
                </a:cubicBezTo>
                <a:cubicBezTo>
                  <a:pt x="714375" y="39052"/>
                  <a:pt x="707708" y="32385"/>
                  <a:pt x="698183" y="22860"/>
                </a:cubicBezTo>
                <a:cubicBezTo>
                  <a:pt x="687705" y="12382"/>
                  <a:pt x="674370" y="0"/>
                  <a:pt x="649605" y="0"/>
                </a:cubicBezTo>
                <a:cubicBezTo>
                  <a:pt x="624840" y="0"/>
                  <a:pt x="611505" y="12382"/>
                  <a:pt x="601028" y="22860"/>
                </a:cubicBezTo>
                <a:cubicBezTo>
                  <a:pt x="591503" y="32385"/>
                  <a:pt x="584835" y="39052"/>
                  <a:pt x="569595" y="39052"/>
                </a:cubicBezTo>
                <a:cubicBezTo>
                  <a:pt x="554355" y="39052"/>
                  <a:pt x="547688" y="32385"/>
                  <a:pt x="538163" y="22860"/>
                </a:cubicBezTo>
                <a:cubicBezTo>
                  <a:pt x="527685" y="12382"/>
                  <a:pt x="514350" y="0"/>
                  <a:pt x="489585" y="0"/>
                </a:cubicBezTo>
                <a:cubicBezTo>
                  <a:pt x="464820" y="0"/>
                  <a:pt x="451485" y="12382"/>
                  <a:pt x="441008" y="22860"/>
                </a:cubicBezTo>
                <a:cubicBezTo>
                  <a:pt x="431483" y="32385"/>
                  <a:pt x="424815" y="39052"/>
                  <a:pt x="409575" y="39052"/>
                </a:cubicBezTo>
                <a:cubicBezTo>
                  <a:pt x="394335" y="39052"/>
                  <a:pt x="387668" y="32385"/>
                  <a:pt x="378143" y="22860"/>
                </a:cubicBezTo>
                <a:cubicBezTo>
                  <a:pt x="367665" y="12382"/>
                  <a:pt x="354330" y="0"/>
                  <a:pt x="329565" y="0"/>
                </a:cubicBezTo>
                <a:cubicBezTo>
                  <a:pt x="304800" y="0"/>
                  <a:pt x="291465" y="12382"/>
                  <a:pt x="280988" y="22860"/>
                </a:cubicBezTo>
                <a:cubicBezTo>
                  <a:pt x="271463" y="32385"/>
                  <a:pt x="264795" y="39052"/>
                  <a:pt x="249555" y="39052"/>
                </a:cubicBezTo>
                <a:cubicBezTo>
                  <a:pt x="234315" y="39052"/>
                  <a:pt x="227648" y="32385"/>
                  <a:pt x="218123" y="22860"/>
                </a:cubicBezTo>
                <a:cubicBezTo>
                  <a:pt x="207645" y="12382"/>
                  <a:pt x="194310" y="0"/>
                  <a:pt x="169545" y="0"/>
                </a:cubicBezTo>
                <a:cubicBezTo>
                  <a:pt x="144780" y="0"/>
                  <a:pt x="131445" y="12382"/>
                  <a:pt x="120968" y="22860"/>
                </a:cubicBezTo>
                <a:cubicBezTo>
                  <a:pt x="111443" y="32385"/>
                  <a:pt x="104775" y="39052"/>
                  <a:pt x="89535" y="39052"/>
                </a:cubicBezTo>
                <a:cubicBezTo>
                  <a:pt x="74295" y="39052"/>
                  <a:pt x="67628" y="32385"/>
                  <a:pt x="58103" y="22860"/>
                </a:cubicBezTo>
                <a:cubicBezTo>
                  <a:pt x="47625" y="12382"/>
                  <a:pt x="34290" y="0"/>
                  <a:pt x="9525" y="0"/>
                </a:cubicBezTo>
                <a:cubicBezTo>
                  <a:pt x="5715" y="0"/>
                  <a:pt x="0" y="5715"/>
                  <a:pt x="0" y="12382"/>
                </a:cubicBezTo>
                <a:cubicBezTo>
                  <a:pt x="0" y="19050"/>
                  <a:pt x="5715" y="24765"/>
                  <a:pt x="12383" y="24765"/>
                </a:cubicBezTo>
                <a:cubicBezTo>
                  <a:pt x="27623" y="24765"/>
                  <a:pt x="34290" y="31432"/>
                  <a:pt x="43815" y="40957"/>
                </a:cubicBezTo>
                <a:cubicBezTo>
                  <a:pt x="54293" y="51435"/>
                  <a:pt x="67628" y="63818"/>
                  <a:pt x="92393" y="63818"/>
                </a:cubicBezTo>
                <a:cubicBezTo>
                  <a:pt x="117158" y="63818"/>
                  <a:pt x="130493" y="51435"/>
                  <a:pt x="140970" y="40957"/>
                </a:cubicBezTo>
                <a:cubicBezTo>
                  <a:pt x="150495" y="31432"/>
                  <a:pt x="157163" y="24765"/>
                  <a:pt x="172403" y="24765"/>
                </a:cubicBezTo>
                <a:cubicBezTo>
                  <a:pt x="187643" y="24765"/>
                  <a:pt x="194310" y="31432"/>
                  <a:pt x="203835" y="40957"/>
                </a:cubicBezTo>
                <a:cubicBezTo>
                  <a:pt x="214313" y="51435"/>
                  <a:pt x="227648" y="63818"/>
                  <a:pt x="252413" y="63818"/>
                </a:cubicBezTo>
                <a:cubicBezTo>
                  <a:pt x="277178" y="63818"/>
                  <a:pt x="290513" y="51435"/>
                  <a:pt x="300990" y="40957"/>
                </a:cubicBezTo>
                <a:cubicBezTo>
                  <a:pt x="310515" y="31432"/>
                  <a:pt x="317183" y="24765"/>
                  <a:pt x="332423" y="24765"/>
                </a:cubicBezTo>
                <a:cubicBezTo>
                  <a:pt x="347663" y="24765"/>
                  <a:pt x="354330" y="31432"/>
                  <a:pt x="363855" y="40957"/>
                </a:cubicBezTo>
                <a:cubicBezTo>
                  <a:pt x="374333" y="51435"/>
                  <a:pt x="387668" y="63818"/>
                  <a:pt x="412433" y="63818"/>
                </a:cubicBezTo>
                <a:cubicBezTo>
                  <a:pt x="437198" y="63818"/>
                  <a:pt x="450533" y="51435"/>
                  <a:pt x="461010" y="40957"/>
                </a:cubicBezTo>
                <a:cubicBezTo>
                  <a:pt x="470535" y="31432"/>
                  <a:pt x="477203" y="24765"/>
                  <a:pt x="492443" y="24765"/>
                </a:cubicBezTo>
                <a:cubicBezTo>
                  <a:pt x="507683" y="24765"/>
                  <a:pt x="514350" y="31432"/>
                  <a:pt x="523875" y="40957"/>
                </a:cubicBezTo>
                <a:cubicBezTo>
                  <a:pt x="534353" y="51435"/>
                  <a:pt x="547688" y="63818"/>
                  <a:pt x="572453" y="63818"/>
                </a:cubicBezTo>
                <a:cubicBezTo>
                  <a:pt x="597218" y="63818"/>
                  <a:pt x="610553" y="51435"/>
                  <a:pt x="621030" y="40957"/>
                </a:cubicBezTo>
                <a:cubicBezTo>
                  <a:pt x="630555" y="31432"/>
                  <a:pt x="637223" y="24765"/>
                  <a:pt x="652463" y="24765"/>
                </a:cubicBezTo>
                <a:cubicBezTo>
                  <a:pt x="667703" y="24765"/>
                  <a:pt x="674370" y="31432"/>
                  <a:pt x="683895" y="40957"/>
                </a:cubicBezTo>
                <a:cubicBezTo>
                  <a:pt x="694373" y="51435"/>
                  <a:pt x="707708" y="63818"/>
                  <a:pt x="732473" y="63818"/>
                </a:cubicBezTo>
                <a:cubicBezTo>
                  <a:pt x="757238" y="63818"/>
                  <a:pt x="770573" y="51435"/>
                  <a:pt x="781050" y="40957"/>
                </a:cubicBezTo>
                <a:cubicBezTo>
                  <a:pt x="790575" y="31432"/>
                  <a:pt x="797243" y="24765"/>
                  <a:pt x="812483" y="24765"/>
                </a:cubicBezTo>
                <a:cubicBezTo>
                  <a:pt x="827723" y="24765"/>
                  <a:pt x="834390" y="31432"/>
                  <a:pt x="843915" y="40957"/>
                </a:cubicBezTo>
                <a:cubicBezTo>
                  <a:pt x="854393" y="51435"/>
                  <a:pt x="867728" y="63818"/>
                  <a:pt x="892493" y="63818"/>
                </a:cubicBezTo>
                <a:cubicBezTo>
                  <a:pt x="917258" y="63818"/>
                  <a:pt x="930593" y="51435"/>
                  <a:pt x="941070" y="40957"/>
                </a:cubicBezTo>
                <a:cubicBezTo>
                  <a:pt x="950595" y="31432"/>
                  <a:pt x="957263" y="24765"/>
                  <a:pt x="972503" y="24765"/>
                </a:cubicBezTo>
                <a:cubicBezTo>
                  <a:pt x="979170" y="24765"/>
                  <a:pt x="984885" y="19050"/>
                  <a:pt x="984885" y="12382"/>
                </a:cubicBezTo>
                <a:cubicBezTo>
                  <a:pt x="981075" y="5715"/>
                  <a:pt x="976313" y="0"/>
                  <a:pt x="969645" y="0"/>
                </a:cubicBezTo>
                <a:close/>
              </a:path>
            </a:pathLst>
          </a:custGeom>
          <a:solidFill>
            <a:srgbClr val="3AACE2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74" name="Freeform: Shape 248">
            <a:extLst>
              <a:ext uri="{FF2B5EF4-FFF2-40B4-BE49-F238E27FC236}">
                <a16:creationId xmlns:a16="http://schemas.microsoft.com/office/drawing/2014/main" id="{00000000-0008-0000-0000-0000F9000000}"/>
              </a:ext>
            </a:extLst>
          </xdr:cNvPr>
          <xdr:cNvSpPr/>
        </xdr:nvSpPr>
        <xdr:spPr>
          <a:xfrm>
            <a:off x="3999696" y="1291776"/>
            <a:ext cx="21143" cy="18908"/>
          </a:xfrm>
          <a:custGeom>
            <a:avLst/>
            <a:gdLst>
              <a:gd name="connsiteX0" fmla="*/ 34290 w 28575"/>
              <a:gd name="connsiteY0" fmla="*/ 17145 h 28575"/>
              <a:gd name="connsiteX1" fmla="*/ 17145 w 28575"/>
              <a:gd name="connsiteY1" fmla="*/ 34290 h 28575"/>
              <a:gd name="connsiteX2" fmla="*/ 0 w 28575"/>
              <a:gd name="connsiteY2" fmla="*/ 17145 h 28575"/>
              <a:gd name="connsiteX3" fmla="*/ 17145 w 28575"/>
              <a:gd name="connsiteY3" fmla="*/ 0 h 28575"/>
              <a:gd name="connsiteX4" fmla="*/ 34290 w 28575"/>
              <a:gd name="connsiteY4" fmla="*/ 17145 h 285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8575" h="28575">
                <a:moveTo>
                  <a:pt x="34290" y="17145"/>
                </a:moveTo>
                <a:cubicBezTo>
                  <a:pt x="34290" y="26614"/>
                  <a:pt x="26614" y="34290"/>
                  <a:pt x="17145" y="34290"/>
                </a:cubicBezTo>
                <a:cubicBezTo>
                  <a:pt x="7676" y="34290"/>
                  <a:pt x="0" y="26614"/>
                  <a:pt x="0" y="17145"/>
                </a:cubicBezTo>
                <a:cubicBezTo>
                  <a:pt x="0" y="7676"/>
                  <a:pt x="7676" y="0"/>
                  <a:pt x="17145" y="0"/>
                </a:cubicBezTo>
                <a:cubicBezTo>
                  <a:pt x="26614" y="0"/>
                  <a:pt x="34290" y="7676"/>
                  <a:pt x="34290" y="17145"/>
                </a:cubicBezTo>
                <a:close/>
              </a:path>
            </a:pathLst>
          </a:custGeom>
          <a:solidFill>
            <a:srgbClr val="FFC717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  <xdr:twoCellAnchor editAs="oneCell">
    <xdr:from>
      <xdr:col>13</xdr:col>
      <xdr:colOff>153970</xdr:colOff>
      <xdr:row>5</xdr:row>
      <xdr:rowOff>414040</xdr:rowOff>
    </xdr:from>
    <xdr:to>
      <xdr:col>13</xdr:col>
      <xdr:colOff>455706</xdr:colOff>
      <xdr:row>7</xdr:row>
      <xdr:rowOff>85511</xdr:rowOff>
    </xdr:to>
    <xdr:grpSp>
      <xdr:nvGrpSpPr>
        <xdr:cNvPr id="35" name="Group 34" descr="Ice cream emoji">
          <a:extLst>
            <a:ext uri="{FF2B5EF4-FFF2-40B4-BE49-F238E27FC236}">
              <a16:creationId xmlns:a16="http://schemas.microsoft.com/office/drawing/2014/main" id="{5EC49844-9DC3-B340-F3F0-C675A24B4845}"/>
            </a:ext>
          </a:extLst>
        </xdr:cNvPr>
        <xdr:cNvGrpSpPr/>
      </xdr:nvGrpSpPr>
      <xdr:grpSpPr>
        <a:xfrm>
          <a:off x="23461645" y="3277890"/>
          <a:ext cx="301736" cy="573171"/>
          <a:chOff x="4546355" y="1304424"/>
          <a:chExt cx="352536" cy="573762"/>
        </a:xfrm>
      </xdr:grpSpPr>
      <xdr:sp macro="" textlink="">
        <xdr:nvSpPr>
          <xdr:cNvPr id="58" name="Freeform 57">
            <a:extLst>
              <a:ext uri="{FF2B5EF4-FFF2-40B4-BE49-F238E27FC236}">
                <a16:creationId xmlns:a16="http://schemas.microsoft.com/office/drawing/2014/main" id="{6657742C-6A85-CF92-90A3-3C2E99B853F4}"/>
              </a:ext>
            </a:extLst>
          </xdr:cNvPr>
          <xdr:cNvSpPr/>
        </xdr:nvSpPr>
        <xdr:spPr>
          <a:xfrm>
            <a:off x="4621222" y="1502024"/>
            <a:ext cx="187382" cy="376162"/>
          </a:xfrm>
          <a:custGeom>
            <a:avLst/>
            <a:gdLst>
              <a:gd name="connsiteX0" fmla="*/ 0 w 187382"/>
              <a:gd name="connsiteY0" fmla="*/ 0 h 376162"/>
              <a:gd name="connsiteX1" fmla="*/ 91422 w 187382"/>
              <a:gd name="connsiteY1" fmla="*/ 375835 h 376162"/>
              <a:gd name="connsiteX2" fmla="*/ 187383 w 187382"/>
              <a:gd name="connsiteY2" fmla="*/ 583 h 376162"/>
              <a:gd name="connsiteX3" fmla="*/ 0 w 187382"/>
              <a:gd name="connsiteY3" fmla="*/ 0 h 3761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87382" h="376162">
                <a:moveTo>
                  <a:pt x="0" y="0"/>
                </a:moveTo>
                <a:cubicBezTo>
                  <a:pt x="0" y="0"/>
                  <a:pt x="39374" y="362692"/>
                  <a:pt x="91422" y="375835"/>
                </a:cubicBezTo>
                <a:cubicBezTo>
                  <a:pt x="143470" y="389001"/>
                  <a:pt x="187383" y="583"/>
                  <a:pt x="187383" y="583"/>
                </a:cubicBezTo>
                <a:lnTo>
                  <a:pt x="0" y="0"/>
                </a:lnTo>
                <a:close/>
              </a:path>
            </a:pathLst>
          </a:custGeom>
          <a:solidFill>
            <a:srgbClr val="EDA466"/>
          </a:solidFill>
          <a:ln w="2367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9" name="Freeform 58">
            <a:extLst>
              <a:ext uri="{FF2B5EF4-FFF2-40B4-BE49-F238E27FC236}">
                <a16:creationId xmlns:a16="http://schemas.microsoft.com/office/drawing/2014/main" id="{0F913A85-1101-4F4C-DC84-E659CA72FE7C}"/>
              </a:ext>
            </a:extLst>
          </xdr:cNvPr>
          <xdr:cNvSpPr/>
        </xdr:nvSpPr>
        <xdr:spPr>
          <a:xfrm>
            <a:off x="4624118" y="1502145"/>
            <a:ext cx="177267" cy="346075"/>
          </a:xfrm>
          <a:custGeom>
            <a:avLst/>
            <a:gdLst>
              <a:gd name="connsiteX0" fmla="*/ 150761 w 177267"/>
              <a:gd name="connsiteY0" fmla="*/ 218781 h 346075"/>
              <a:gd name="connsiteX1" fmla="*/ 151413 w 177267"/>
              <a:gd name="connsiteY1" fmla="*/ 217300 h 346075"/>
              <a:gd name="connsiteX2" fmla="*/ 160755 w 177267"/>
              <a:gd name="connsiteY2" fmla="*/ 166309 h 346075"/>
              <a:gd name="connsiteX3" fmla="*/ 152885 w 177267"/>
              <a:gd name="connsiteY3" fmla="*/ 187201 h 346075"/>
              <a:gd name="connsiteX4" fmla="*/ 140453 w 177267"/>
              <a:gd name="connsiteY4" fmla="*/ 214700 h 346075"/>
              <a:gd name="connsiteX5" fmla="*/ 139101 w 177267"/>
              <a:gd name="connsiteY5" fmla="*/ 214214 h 346075"/>
              <a:gd name="connsiteX6" fmla="*/ 96250 w 177267"/>
              <a:gd name="connsiteY6" fmla="*/ 193784 h 346075"/>
              <a:gd name="connsiteX7" fmla="*/ 112763 w 177267"/>
              <a:gd name="connsiteY7" fmla="*/ 158414 h 346075"/>
              <a:gd name="connsiteX8" fmla="*/ 122733 w 177267"/>
              <a:gd name="connsiteY8" fmla="*/ 133951 h 346075"/>
              <a:gd name="connsiteX9" fmla="*/ 147502 w 177267"/>
              <a:gd name="connsiteY9" fmla="*/ 150956 h 346075"/>
              <a:gd name="connsiteX10" fmla="*/ 161890 w 177267"/>
              <a:gd name="connsiteY10" fmla="*/ 159653 h 346075"/>
              <a:gd name="connsiteX11" fmla="*/ 164135 w 177267"/>
              <a:gd name="connsiteY11" fmla="*/ 146073 h 346075"/>
              <a:gd name="connsiteX12" fmla="*/ 148081 w 177267"/>
              <a:gd name="connsiteY12" fmla="*/ 135821 h 346075"/>
              <a:gd name="connsiteX13" fmla="*/ 127151 w 177267"/>
              <a:gd name="connsiteY13" fmla="*/ 122412 h 346075"/>
              <a:gd name="connsiteX14" fmla="*/ 140404 w 177267"/>
              <a:gd name="connsiteY14" fmla="*/ 85997 h 346075"/>
              <a:gd name="connsiteX15" fmla="*/ 147767 w 177267"/>
              <a:gd name="connsiteY15" fmla="*/ 65518 h 346075"/>
              <a:gd name="connsiteX16" fmla="*/ 175288 w 177267"/>
              <a:gd name="connsiteY16" fmla="*/ 72174 h 346075"/>
              <a:gd name="connsiteX17" fmla="*/ 177268 w 177267"/>
              <a:gd name="connsiteY17" fmla="*/ 57647 h 346075"/>
              <a:gd name="connsiteX18" fmla="*/ 151823 w 177267"/>
              <a:gd name="connsiteY18" fmla="*/ 52594 h 346075"/>
              <a:gd name="connsiteX19" fmla="*/ 154068 w 177267"/>
              <a:gd name="connsiteY19" fmla="*/ 44602 h 346075"/>
              <a:gd name="connsiteX20" fmla="*/ 159500 w 177267"/>
              <a:gd name="connsiteY20" fmla="*/ 13920 h 346075"/>
              <a:gd name="connsiteX21" fmla="*/ 161986 w 177267"/>
              <a:gd name="connsiteY21" fmla="*/ 10640 h 346075"/>
              <a:gd name="connsiteX22" fmla="*/ 162517 w 177267"/>
              <a:gd name="connsiteY22" fmla="*/ 8430 h 346075"/>
              <a:gd name="connsiteX23" fmla="*/ 153271 w 177267"/>
              <a:gd name="connsiteY23" fmla="*/ 2867 h 346075"/>
              <a:gd name="connsiteX24" fmla="*/ 140549 w 177267"/>
              <a:gd name="connsiteY24" fmla="*/ 49290 h 346075"/>
              <a:gd name="connsiteX25" fmla="*/ 116287 w 177267"/>
              <a:gd name="connsiteY25" fmla="*/ 38553 h 346075"/>
              <a:gd name="connsiteX26" fmla="*/ 108924 w 177267"/>
              <a:gd name="connsiteY26" fmla="*/ 34423 h 346075"/>
              <a:gd name="connsiteX27" fmla="*/ 113897 w 177267"/>
              <a:gd name="connsiteY27" fmla="*/ 2915 h 346075"/>
              <a:gd name="connsiteX28" fmla="*/ 112956 w 177267"/>
              <a:gd name="connsiteY28" fmla="*/ 219 h 346075"/>
              <a:gd name="connsiteX29" fmla="*/ 106172 w 177267"/>
              <a:gd name="connsiteY29" fmla="*/ 194 h 346075"/>
              <a:gd name="connsiteX30" fmla="*/ 105279 w 177267"/>
              <a:gd name="connsiteY30" fmla="*/ 3377 h 346075"/>
              <a:gd name="connsiteX31" fmla="*/ 100596 w 177267"/>
              <a:gd name="connsiteY31" fmla="*/ 29759 h 346075"/>
              <a:gd name="connsiteX32" fmla="*/ 57697 w 177267"/>
              <a:gd name="connsiteY32" fmla="*/ 2259 h 346075"/>
              <a:gd name="connsiteX33" fmla="*/ 57794 w 177267"/>
              <a:gd name="connsiteY33" fmla="*/ 1895 h 346075"/>
              <a:gd name="connsiteX34" fmla="*/ 57697 w 177267"/>
              <a:gd name="connsiteY34" fmla="*/ 1919 h 346075"/>
              <a:gd name="connsiteX35" fmla="*/ 57794 w 177267"/>
              <a:gd name="connsiteY35" fmla="*/ 49 h 346075"/>
              <a:gd name="connsiteX36" fmla="*/ 42971 w 177267"/>
              <a:gd name="connsiteY36" fmla="*/ 0 h 346075"/>
              <a:gd name="connsiteX37" fmla="*/ 47437 w 177267"/>
              <a:gd name="connsiteY37" fmla="*/ 4518 h 346075"/>
              <a:gd name="connsiteX38" fmla="*/ 30925 w 177267"/>
              <a:gd name="connsiteY38" fmla="*/ 52157 h 346075"/>
              <a:gd name="connsiteX39" fmla="*/ 0 w 177267"/>
              <a:gd name="connsiteY39" fmla="*/ 24657 h 346075"/>
              <a:gd name="connsiteX40" fmla="*/ 1497 w 177267"/>
              <a:gd name="connsiteY40" fmla="*/ 36707 h 346075"/>
              <a:gd name="connsiteX41" fmla="*/ 24407 w 177267"/>
              <a:gd name="connsiteY41" fmla="*/ 58643 h 346075"/>
              <a:gd name="connsiteX42" fmla="*/ 26990 w 177267"/>
              <a:gd name="connsiteY42" fmla="*/ 61048 h 346075"/>
              <a:gd name="connsiteX43" fmla="*/ 21099 w 177267"/>
              <a:gd name="connsiteY43" fmla="*/ 73364 h 346075"/>
              <a:gd name="connsiteX44" fmla="*/ 9077 w 177267"/>
              <a:gd name="connsiteY44" fmla="*/ 93163 h 346075"/>
              <a:gd name="connsiteX45" fmla="*/ 11153 w 177267"/>
              <a:gd name="connsiteY45" fmla="*/ 107447 h 346075"/>
              <a:gd name="connsiteX46" fmla="*/ 20785 w 177267"/>
              <a:gd name="connsiteY46" fmla="*/ 91803 h 346075"/>
              <a:gd name="connsiteX47" fmla="*/ 34522 w 177267"/>
              <a:gd name="connsiteY47" fmla="*/ 67923 h 346075"/>
              <a:gd name="connsiteX48" fmla="*/ 73220 w 177267"/>
              <a:gd name="connsiteY48" fmla="*/ 97852 h 346075"/>
              <a:gd name="connsiteX49" fmla="*/ 72833 w 177267"/>
              <a:gd name="connsiteY49" fmla="*/ 98799 h 346075"/>
              <a:gd name="connsiteX50" fmla="*/ 41885 w 177267"/>
              <a:gd name="connsiteY50" fmla="*/ 149474 h 346075"/>
              <a:gd name="connsiteX51" fmla="*/ 27038 w 177267"/>
              <a:gd name="connsiteY51" fmla="*/ 131084 h 346075"/>
              <a:gd name="connsiteX52" fmla="*/ 12215 w 177267"/>
              <a:gd name="connsiteY52" fmla="*/ 114492 h 346075"/>
              <a:gd name="connsiteX53" fmla="*/ 14243 w 177267"/>
              <a:gd name="connsiteY53" fmla="*/ 127756 h 346075"/>
              <a:gd name="connsiteX54" fmla="*/ 36694 w 177267"/>
              <a:gd name="connsiteY54" fmla="*/ 156519 h 346075"/>
              <a:gd name="connsiteX55" fmla="*/ 22258 w 177267"/>
              <a:gd name="connsiteY55" fmla="*/ 176755 h 346075"/>
              <a:gd name="connsiteX56" fmla="*/ 23393 w 177267"/>
              <a:gd name="connsiteY56" fmla="*/ 183241 h 346075"/>
              <a:gd name="connsiteX57" fmla="*/ 42126 w 177267"/>
              <a:gd name="connsiteY57" fmla="*/ 163321 h 346075"/>
              <a:gd name="connsiteX58" fmla="*/ 54655 w 177267"/>
              <a:gd name="connsiteY58" fmla="*/ 176706 h 346075"/>
              <a:gd name="connsiteX59" fmla="*/ 81693 w 177267"/>
              <a:gd name="connsiteY59" fmla="*/ 197598 h 346075"/>
              <a:gd name="connsiteX60" fmla="*/ 54390 w 177267"/>
              <a:gd name="connsiteY60" fmla="*/ 241471 h 346075"/>
              <a:gd name="connsiteX61" fmla="*/ 51034 w 177267"/>
              <a:gd name="connsiteY61" fmla="*/ 245965 h 346075"/>
              <a:gd name="connsiteX62" fmla="*/ 30056 w 177267"/>
              <a:gd name="connsiteY62" fmla="*/ 218757 h 346075"/>
              <a:gd name="connsiteX63" fmla="*/ 33870 w 177267"/>
              <a:gd name="connsiteY63" fmla="*/ 237536 h 346075"/>
              <a:gd name="connsiteX64" fmla="*/ 45796 w 177267"/>
              <a:gd name="connsiteY64" fmla="*/ 253447 h 346075"/>
              <a:gd name="connsiteX65" fmla="*/ 39664 w 177267"/>
              <a:gd name="connsiteY65" fmla="*/ 263699 h 346075"/>
              <a:gd name="connsiteX66" fmla="*/ 42754 w 177267"/>
              <a:gd name="connsiteY66" fmla="*/ 276501 h 346075"/>
              <a:gd name="connsiteX67" fmla="*/ 50503 w 177267"/>
              <a:gd name="connsiteY67" fmla="*/ 265715 h 346075"/>
              <a:gd name="connsiteX68" fmla="*/ 52990 w 177267"/>
              <a:gd name="connsiteY68" fmla="*/ 261853 h 346075"/>
              <a:gd name="connsiteX69" fmla="*/ 83480 w 177267"/>
              <a:gd name="connsiteY69" fmla="*/ 290713 h 346075"/>
              <a:gd name="connsiteX70" fmla="*/ 91615 w 177267"/>
              <a:gd name="connsiteY70" fmla="*/ 297174 h 346075"/>
              <a:gd name="connsiteX71" fmla="*/ 60642 w 177267"/>
              <a:gd name="connsiteY71" fmla="*/ 335654 h 346075"/>
              <a:gd name="connsiteX72" fmla="*/ 64988 w 177267"/>
              <a:gd name="connsiteY72" fmla="*/ 346076 h 346075"/>
              <a:gd name="connsiteX73" fmla="*/ 87849 w 177267"/>
              <a:gd name="connsiteY73" fmla="*/ 321152 h 346075"/>
              <a:gd name="connsiteX74" fmla="*/ 101078 w 177267"/>
              <a:gd name="connsiteY74" fmla="*/ 304268 h 346075"/>
              <a:gd name="connsiteX75" fmla="*/ 126282 w 177267"/>
              <a:gd name="connsiteY75" fmla="*/ 320204 h 346075"/>
              <a:gd name="connsiteX76" fmla="*/ 129734 w 177267"/>
              <a:gd name="connsiteY76" fmla="*/ 309078 h 346075"/>
              <a:gd name="connsiteX77" fmla="*/ 107597 w 177267"/>
              <a:gd name="connsiteY77" fmla="*/ 295134 h 346075"/>
              <a:gd name="connsiteX78" fmla="*/ 129492 w 177267"/>
              <a:gd name="connsiteY78" fmla="*/ 260371 h 346075"/>
              <a:gd name="connsiteX79" fmla="*/ 146536 w 177267"/>
              <a:gd name="connsiteY79" fmla="*/ 227624 h 346075"/>
              <a:gd name="connsiteX80" fmla="*/ 149216 w 177267"/>
              <a:gd name="connsiteY80" fmla="*/ 228426 h 346075"/>
              <a:gd name="connsiteX81" fmla="*/ 151147 w 177267"/>
              <a:gd name="connsiteY81" fmla="*/ 218806 h 346075"/>
              <a:gd name="connsiteX82" fmla="*/ 150761 w 177267"/>
              <a:gd name="connsiteY82" fmla="*/ 218781 h 346075"/>
              <a:gd name="connsiteX83" fmla="*/ 105593 w 177267"/>
              <a:gd name="connsiteY83" fmla="*/ 44480 h 346075"/>
              <a:gd name="connsiteX84" fmla="*/ 111218 w 177267"/>
              <a:gd name="connsiteY84" fmla="*/ 48051 h 346075"/>
              <a:gd name="connsiteX85" fmla="*/ 137362 w 177267"/>
              <a:gd name="connsiteY85" fmla="*/ 61631 h 346075"/>
              <a:gd name="connsiteX86" fmla="*/ 117808 w 177267"/>
              <a:gd name="connsiteY86" fmla="*/ 116727 h 346075"/>
              <a:gd name="connsiteX87" fmla="*/ 97723 w 177267"/>
              <a:gd name="connsiteY87" fmla="*/ 102832 h 346075"/>
              <a:gd name="connsiteX88" fmla="*/ 84759 w 177267"/>
              <a:gd name="connsiteY88" fmla="*/ 93017 h 346075"/>
              <a:gd name="connsiteX89" fmla="*/ 105593 w 177267"/>
              <a:gd name="connsiteY89" fmla="*/ 44480 h 346075"/>
              <a:gd name="connsiteX90" fmla="*/ 41788 w 177267"/>
              <a:gd name="connsiteY90" fmla="*/ 61072 h 346075"/>
              <a:gd name="connsiteX91" fmla="*/ 38843 w 177267"/>
              <a:gd name="connsiteY91" fmla="*/ 58643 h 346075"/>
              <a:gd name="connsiteX92" fmla="*/ 55211 w 177267"/>
              <a:gd name="connsiteY92" fmla="*/ 11320 h 346075"/>
              <a:gd name="connsiteX93" fmla="*/ 97047 w 177267"/>
              <a:gd name="connsiteY93" fmla="*/ 39233 h 346075"/>
              <a:gd name="connsiteX94" fmla="*/ 89298 w 177267"/>
              <a:gd name="connsiteY94" fmla="*/ 56942 h 346075"/>
              <a:gd name="connsiteX95" fmla="*/ 77300 w 177267"/>
              <a:gd name="connsiteY95" fmla="*/ 87600 h 346075"/>
              <a:gd name="connsiteX96" fmla="*/ 41788 w 177267"/>
              <a:gd name="connsiteY96" fmla="*/ 61072 h 346075"/>
              <a:gd name="connsiteX97" fmla="*/ 77058 w 177267"/>
              <a:gd name="connsiteY97" fmla="*/ 181856 h 346075"/>
              <a:gd name="connsiteX98" fmla="*/ 47920 w 177267"/>
              <a:gd name="connsiteY98" fmla="*/ 156349 h 346075"/>
              <a:gd name="connsiteX99" fmla="*/ 80341 w 177267"/>
              <a:gd name="connsiteY99" fmla="*/ 103245 h 346075"/>
              <a:gd name="connsiteX100" fmla="*/ 91374 w 177267"/>
              <a:gd name="connsiteY100" fmla="*/ 111941 h 346075"/>
              <a:gd name="connsiteX101" fmla="*/ 113366 w 177267"/>
              <a:gd name="connsiteY101" fmla="*/ 127853 h 346075"/>
              <a:gd name="connsiteX102" fmla="*/ 99606 w 177267"/>
              <a:gd name="connsiteY102" fmla="*/ 160138 h 346075"/>
              <a:gd name="connsiteX103" fmla="*/ 86642 w 177267"/>
              <a:gd name="connsiteY103" fmla="*/ 187978 h 346075"/>
              <a:gd name="connsiteX104" fmla="*/ 77058 w 177267"/>
              <a:gd name="connsiteY104" fmla="*/ 181856 h 346075"/>
              <a:gd name="connsiteX105" fmla="*/ 120102 w 177267"/>
              <a:gd name="connsiteY105" fmla="*/ 254832 h 346075"/>
              <a:gd name="connsiteX106" fmla="*/ 97988 w 177267"/>
              <a:gd name="connsiteY106" fmla="*/ 288745 h 346075"/>
              <a:gd name="connsiteX107" fmla="*/ 83238 w 177267"/>
              <a:gd name="connsiteY107" fmla="*/ 278080 h 346075"/>
              <a:gd name="connsiteX108" fmla="*/ 58252 w 177267"/>
              <a:gd name="connsiteY108" fmla="*/ 254128 h 346075"/>
              <a:gd name="connsiteX109" fmla="*/ 71964 w 177267"/>
              <a:gd name="connsiteY109" fmla="*/ 235349 h 346075"/>
              <a:gd name="connsiteX110" fmla="*/ 91181 w 177267"/>
              <a:gd name="connsiteY110" fmla="*/ 203477 h 346075"/>
              <a:gd name="connsiteX111" fmla="*/ 135914 w 177267"/>
              <a:gd name="connsiteY111" fmla="*/ 224126 h 346075"/>
              <a:gd name="connsiteX112" fmla="*/ 120102 w 177267"/>
              <a:gd name="connsiteY112" fmla="*/ 254832 h 3460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</a:cxnLst>
            <a:rect l="l" t="t" r="r" b="b"/>
            <a:pathLst>
              <a:path w="177267" h="346075">
                <a:moveTo>
                  <a:pt x="150761" y="218781"/>
                </a:moveTo>
                <a:cubicBezTo>
                  <a:pt x="150978" y="218296"/>
                  <a:pt x="151195" y="217810"/>
                  <a:pt x="151413" y="217300"/>
                </a:cubicBezTo>
                <a:cubicBezTo>
                  <a:pt x="154744" y="200440"/>
                  <a:pt x="157858" y="183265"/>
                  <a:pt x="160755" y="166309"/>
                </a:cubicBezTo>
                <a:cubicBezTo>
                  <a:pt x="158317" y="173354"/>
                  <a:pt x="155806" y="180350"/>
                  <a:pt x="152885" y="187201"/>
                </a:cubicBezTo>
                <a:cubicBezTo>
                  <a:pt x="148926" y="196456"/>
                  <a:pt x="144750" y="205615"/>
                  <a:pt x="140453" y="214700"/>
                </a:cubicBezTo>
                <a:cubicBezTo>
                  <a:pt x="139946" y="214506"/>
                  <a:pt x="139487" y="214360"/>
                  <a:pt x="139101" y="214214"/>
                </a:cubicBezTo>
                <a:cubicBezTo>
                  <a:pt x="124447" y="209234"/>
                  <a:pt x="110035" y="201898"/>
                  <a:pt x="96250" y="193784"/>
                </a:cubicBezTo>
                <a:cubicBezTo>
                  <a:pt x="102068" y="182245"/>
                  <a:pt x="107452" y="170439"/>
                  <a:pt x="112763" y="158414"/>
                </a:cubicBezTo>
                <a:cubicBezTo>
                  <a:pt x="116311" y="150373"/>
                  <a:pt x="119571" y="142186"/>
                  <a:pt x="122733" y="133951"/>
                </a:cubicBezTo>
                <a:cubicBezTo>
                  <a:pt x="131110" y="139368"/>
                  <a:pt x="139487" y="144810"/>
                  <a:pt x="147502" y="150956"/>
                </a:cubicBezTo>
                <a:cubicBezTo>
                  <a:pt x="151702" y="154162"/>
                  <a:pt x="156603" y="157078"/>
                  <a:pt x="161890" y="159653"/>
                </a:cubicBezTo>
                <a:cubicBezTo>
                  <a:pt x="162662" y="155110"/>
                  <a:pt x="163411" y="150591"/>
                  <a:pt x="164135" y="146073"/>
                </a:cubicBezTo>
                <a:cubicBezTo>
                  <a:pt x="158824" y="143206"/>
                  <a:pt x="153706" y="139781"/>
                  <a:pt x="148081" y="135821"/>
                </a:cubicBezTo>
                <a:cubicBezTo>
                  <a:pt x="141249" y="131011"/>
                  <a:pt x="134200" y="126712"/>
                  <a:pt x="127151" y="122412"/>
                </a:cubicBezTo>
                <a:cubicBezTo>
                  <a:pt x="131641" y="110290"/>
                  <a:pt x="135938" y="98070"/>
                  <a:pt x="140404" y="85997"/>
                </a:cubicBezTo>
                <a:cubicBezTo>
                  <a:pt x="142939" y="79122"/>
                  <a:pt x="145450" y="72344"/>
                  <a:pt x="147767" y="65518"/>
                </a:cubicBezTo>
                <a:cubicBezTo>
                  <a:pt x="156748" y="68554"/>
                  <a:pt x="165994" y="70789"/>
                  <a:pt x="175288" y="72174"/>
                </a:cubicBezTo>
                <a:cubicBezTo>
                  <a:pt x="175988" y="67121"/>
                  <a:pt x="176664" y="62287"/>
                  <a:pt x="177268" y="57647"/>
                </a:cubicBezTo>
                <a:cubicBezTo>
                  <a:pt x="168673" y="56311"/>
                  <a:pt x="160224" y="54780"/>
                  <a:pt x="151823" y="52594"/>
                </a:cubicBezTo>
                <a:cubicBezTo>
                  <a:pt x="152595" y="49946"/>
                  <a:pt x="153368" y="47298"/>
                  <a:pt x="154068" y="44602"/>
                </a:cubicBezTo>
                <a:cubicBezTo>
                  <a:pt x="156410" y="35443"/>
                  <a:pt x="155323" y="22592"/>
                  <a:pt x="159500" y="13920"/>
                </a:cubicBezTo>
                <a:cubicBezTo>
                  <a:pt x="160683" y="13240"/>
                  <a:pt x="161624" y="12146"/>
                  <a:pt x="161986" y="10640"/>
                </a:cubicBezTo>
                <a:lnTo>
                  <a:pt x="162517" y="8430"/>
                </a:lnTo>
                <a:cubicBezTo>
                  <a:pt x="163797" y="3109"/>
                  <a:pt x="156820" y="-1919"/>
                  <a:pt x="153271" y="2867"/>
                </a:cubicBezTo>
                <a:cubicBezTo>
                  <a:pt x="144532" y="14600"/>
                  <a:pt x="143543" y="33573"/>
                  <a:pt x="140549" y="49290"/>
                </a:cubicBezTo>
                <a:cubicBezTo>
                  <a:pt x="132510" y="46594"/>
                  <a:pt x="124471" y="43144"/>
                  <a:pt x="116287" y="38553"/>
                </a:cubicBezTo>
                <a:cubicBezTo>
                  <a:pt x="113825" y="37192"/>
                  <a:pt x="111387" y="35808"/>
                  <a:pt x="108924" y="34423"/>
                </a:cubicBezTo>
                <a:cubicBezTo>
                  <a:pt x="112087" y="23758"/>
                  <a:pt x="114115" y="13118"/>
                  <a:pt x="113897" y="2915"/>
                </a:cubicBezTo>
                <a:cubicBezTo>
                  <a:pt x="113873" y="1725"/>
                  <a:pt x="113463" y="899"/>
                  <a:pt x="112956" y="219"/>
                </a:cubicBezTo>
                <a:lnTo>
                  <a:pt x="106172" y="194"/>
                </a:lnTo>
                <a:cubicBezTo>
                  <a:pt x="105496" y="996"/>
                  <a:pt x="105086" y="2065"/>
                  <a:pt x="105279" y="3377"/>
                </a:cubicBezTo>
                <a:cubicBezTo>
                  <a:pt x="105376" y="12608"/>
                  <a:pt x="103444" y="21305"/>
                  <a:pt x="100596" y="29759"/>
                </a:cubicBezTo>
                <a:cubicBezTo>
                  <a:pt x="85846" y="21378"/>
                  <a:pt x="71216" y="12535"/>
                  <a:pt x="57697" y="2259"/>
                </a:cubicBezTo>
                <a:cubicBezTo>
                  <a:pt x="57721" y="2138"/>
                  <a:pt x="57769" y="2016"/>
                  <a:pt x="57794" y="1895"/>
                </a:cubicBezTo>
                <a:cubicBezTo>
                  <a:pt x="57769" y="1895"/>
                  <a:pt x="57721" y="1895"/>
                  <a:pt x="57697" y="1919"/>
                </a:cubicBezTo>
                <a:cubicBezTo>
                  <a:pt x="57866" y="1263"/>
                  <a:pt x="57866" y="632"/>
                  <a:pt x="57794" y="49"/>
                </a:cubicBezTo>
                <a:lnTo>
                  <a:pt x="42971" y="0"/>
                </a:lnTo>
                <a:cubicBezTo>
                  <a:pt x="44444" y="1530"/>
                  <a:pt x="45916" y="3085"/>
                  <a:pt x="47437" y="4518"/>
                </a:cubicBezTo>
                <a:cubicBezTo>
                  <a:pt x="42971" y="20868"/>
                  <a:pt x="37491" y="36731"/>
                  <a:pt x="30925" y="52157"/>
                </a:cubicBezTo>
                <a:cubicBezTo>
                  <a:pt x="20496" y="43679"/>
                  <a:pt x="9174" y="34423"/>
                  <a:pt x="0" y="24657"/>
                </a:cubicBezTo>
                <a:cubicBezTo>
                  <a:pt x="459" y="28325"/>
                  <a:pt x="942" y="32382"/>
                  <a:pt x="1497" y="36707"/>
                </a:cubicBezTo>
                <a:cubicBezTo>
                  <a:pt x="8836" y="44772"/>
                  <a:pt x="17599" y="51938"/>
                  <a:pt x="24407" y="58643"/>
                </a:cubicBezTo>
                <a:cubicBezTo>
                  <a:pt x="25252" y="59469"/>
                  <a:pt x="26145" y="60246"/>
                  <a:pt x="26990" y="61048"/>
                </a:cubicBezTo>
                <a:cubicBezTo>
                  <a:pt x="25107" y="65178"/>
                  <a:pt x="23151" y="69283"/>
                  <a:pt x="21099" y="73364"/>
                </a:cubicBezTo>
                <a:cubicBezTo>
                  <a:pt x="17599" y="80288"/>
                  <a:pt x="13422" y="86798"/>
                  <a:pt x="9077" y="93163"/>
                </a:cubicBezTo>
                <a:cubicBezTo>
                  <a:pt x="9753" y="97827"/>
                  <a:pt x="10453" y="102589"/>
                  <a:pt x="11153" y="107447"/>
                </a:cubicBezTo>
                <a:cubicBezTo>
                  <a:pt x="14678" y="101666"/>
                  <a:pt x="17864" y="96054"/>
                  <a:pt x="20785" y="91803"/>
                </a:cubicBezTo>
                <a:cubicBezTo>
                  <a:pt x="25927" y="84320"/>
                  <a:pt x="30442" y="76255"/>
                  <a:pt x="34522" y="67923"/>
                </a:cubicBezTo>
                <a:cubicBezTo>
                  <a:pt x="46906" y="78685"/>
                  <a:pt x="60159" y="88110"/>
                  <a:pt x="73220" y="97852"/>
                </a:cubicBezTo>
                <a:cubicBezTo>
                  <a:pt x="73099" y="98167"/>
                  <a:pt x="72978" y="98483"/>
                  <a:pt x="72833" y="98799"/>
                </a:cubicBezTo>
                <a:cubicBezTo>
                  <a:pt x="65060" y="117286"/>
                  <a:pt x="53641" y="133514"/>
                  <a:pt x="41885" y="149474"/>
                </a:cubicBezTo>
                <a:cubicBezTo>
                  <a:pt x="36839" y="143546"/>
                  <a:pt x="31939" y="137376"/>
                  <a:pt x="27038" y="131084"/>
                </a:cubicBezTo>
                <a:cubicBezTo>
                  <a:pt x="22379" y="125084"/>
                  <a:pt x="17333" y="119715"/>
                  <a:pt x="12215" y="114492"/>
                </a:cubicBezTo>
                <a:cubicBezTo>
                  <a:pt x="12867" y="118841"/>
                  <a:pt x="13543" y="123286"/>
                  <a:pt x="14243" y="127756"/>
                </a:cubicBezTo>
                <a:cubicBezTo>
                  <a:pt x="22210" y="136915"/>
                  <a:pt x="29235" y="146899"/>
                  <a:pt x="36694" y="156519"/>
                </a:cubicBezTo>
                <a:cubicBezTo>
                  <a:pt x="31770" y="163199"/>
                  <a:pt x="26869" y="169880"/>
                  <a:pt x="22258" y="176755"/>
                </a:cubicBezTo>
                <a:cubicBezTo>
                  <a:pt x="22620" y="178917"/>
                  <a:pt x="23006" y="181079"/>
                  <a:pt x="23393" y="183241"/>
                </a:cubicBezTo>
                <a:cubicBezTo>
                  <a:pt x="29887" y="177143"/>
                  <a:pt x="36139" y="170439"/>
                  <a:pt x="42126" y="163321"/>
                </a:cubicBezTo>
                <a:cubicBezTo>
                  <a:pt x="46037" y="168009"/>
                  <a:pt x="50141" y="172528"/>
                  <a:pt x="54655" y="176706"/>
                </a:cubicBezTo>
                <a:cubicBezTo>
                  <a:pt x="62960" y="184431"/>
                  <a:pt x="72085" y="191355"/>
                  <a:pt x="81693" y="197598"/>
                </a:cubicBezTo>
                <a:cubicBezTo>
                  <a:pt x="73678" y="212878"/>
                  <a:pt x="64843" y="227600"/>
                  <a:pt x="54390" y="241471"/>
                </a:cubicBezTo>
                <a:cubicBezTo>
                  <a:pt x="53424" y="242783"/>
                  <a:pt x="52265" y="244313"/>
                  <a:pt x="51034" y="245965"/>
                </a:cubicBezTo>
                <a:cubicBezTo>
                  <a:pt x="43575" y="237317"/>
                  <a:pt x="36598" y="228231"/>
                  <a:pt x="30056" y="218757"/>
                </a:cubicBezTo>
                <a:cubicBezTo>
                  <a:pt x="31287" y="225073"/>
                  <a:pt x="32566" y="231341"/>
                  <a:pt x="33870" y="237536"/>
                </a:cubicBezTo>
                <a:cubicBezTo>
                  <a:pt x="37660" y="242977"/>
                  <a:pt x="41595" y="248297"/>
                  <a:pt x="45796" y="253447"/>
                </a:cubicBezTo>
                <a:cubicBezTo>
                  <a:pt x="43647" y="256654"/>
                  <a:pt x="41547" y="260152"/>
                  <a:pt x="39664" y="263699"/>
                </a:cubicBezTo>
                <a:cubicBezTo>
                  <a:pt x="40678" y="268047"/>
                  <a:pt x="41692" y="272299"/>
                  <a:pt x="42754" y="276501"/>
                </a:cubicBezTo>
                <a:cubicBezTo>
                  <a:pt x="45578" y="272614"/>
                  <a:pt x="48717" y="268776"/>
                  <a:pt x="50503" y="265715"/>
                </a:cubicBezTo>
                <a:cubicBezTo>
                  <a:pt x="51300" y="264403"/>
                  <a:pt x="52169" y="263140"/>
                  <a:pt x="52990" y="261853"/>
                </a:cubicBezTo>
                <a:cubicBezTo>
                  <a:pt x="62115" y="272080"/>
                  <a:pt x="72182" y="281676"/>
                  <a:pt x="83480" y="290713"/>
                </a:cubicBezTo>
                <a:cubicBezTo>
                  <a:pt x="85459" y="292292"/>
                  <a:pt x="88260" y="294551"/>
                  <a:pt x="91615" y="297174"/>
                </a:cubicBezTo>
                <a:cubicBezTo>
                  <a:pt x="81476" y="310195"/>
                  <a:pt x="70878" y="322755"/>
                  <a:pt x="60642" y="335654"/>
                </a:cubicBezTo>
                <a:cubicBezTo>
                  <a:pt x="62067" y="339347"/>
                  <a:pt x="63515" y="342821"/>
                  <a:pt x="64988" y="346076"/>
                </a:cubicBezTo>
                <a:cubicBezTo>
                  <a:pt x="73340" y="338011"/>
                  <a:pt x="81235" y="328974"/>
                  <a:pt x="87849" y="321152"/>
                </a:cubicBezTo>
                <a:cubicBezTo>
                  <a:pt x="92460" y="315710"/>
                  <a:pt x="96806" y="310025"/>
                  <a:pt x="101078" y="304268"/>
                </a:cubicBezTo>
                <a:cubicBezTo>
                  <a:pt x="108635" y="309758"/>
                  <a:pt x="117494" y="315613"/>
                  <a:pt x="126282" y="320204"/>
                </a:cubicBezTo>
                <a:cubicBezTo>
                  <a:pt x="127441" y="316609"/>
                  <a:pt x="128599" y="312916"/>
                  <a:pt x="129734" y="309078"/>
                </a:cubicBezTo>
                <a:cubicBezTo>
                  <a:pt x="122492" y="304851"/>
                  <a:pt x="114718" y="299895"/>
                  <a:pt x="107597" y="295134"/>
                </a:cubicBezTo>
                <a:cubicBezTo>
                  <a:pt x="115370" y="283911"/>
                  <a:pt x="122661" y="272274"/>
                  <a:pt x="129492" y="260371"/>
                </a:cubicBezTo>
                <a:cubicBezTo>
                  <a:pt x="135576" y="249755"/>
                  <a:pt x="141177" y="238774"/>
                  <a:pt x="146536" y="227624"/>
                </a:cubicBezTo>
                <a:cubicBezTo>
                  <a:pt x="147429" y="227916"/>
                  <a:pt x="148322" y="228158"/>
                  <a:pt x="149216" y="228426"/>
                </a:cubicBezTo>
                <a:cubicBezTo>
                  <a:pt x="149868" y="225243"/>
                  <a:pt x="150519" y="222037"/>
                  <a:pt x="151147" y="218806"/>
                </a:cubicBezTo>
                <a:cubicBezTo>
                  <a:pt x="150978" y="218879"/>
                  <a:pt x="150857" y="218830"/>
                  <a:pt x="150761" y="218781"/>
                </a:cubicBezTo>
                <a:close/>
                <a:moveTo>
                  <a:pt x="105593" y="44480"/>
                </a:moveTo>
                <a:cubicBezTo>
                  <a:pt x="107476" y="45671"/>
                  <a:pt x="109359" y="46861"/>
                  <a:pt x="111218" y="48051"/>
                </a:cubicBezTo>
                <a:cubicBezTo>
                  <a:pt x="119257" y="53250"/>
                  <a:pt x="128092" y="57817"/>
                  <a:pt x="137362" y="61631"/>
                </a:cubicBezTo>
                <a:cubicBezTo>
                  <a:pt x="131738" y="80045"/>
                  <a:pt x="125051" y="98532"/>
                  <a:pt x="117808" y="116727"/>
                </a:cubicBezTo>
                <a:cubicBezTo>
                  <a:pt x="110952" y="112452"/>
                  <a:pt x="104169" y="107957"/>
                  <a:pt x="97723" y="102832"/>
                </a:cubicBezTo>
                <a:cubicBezTo>
                  <a:pt x="93474" y="99455"/>
                  <a:pt x="89129" y="96200"/>
                  <a:pt x="84759" y="93017"/>
                </a:cubicBezTo>
                <a:cubicBezTo>
                  <a:pt x="91181" y="78223"/>
                  <a:pt x="99485" y="61485"/>
                  <a:pt x="105593" y="44480"/>
                </a:cubicBezTo>
                <a:close/>
                <a:moveTo>
                  <a:pt x="41788" y="61072"/>
                </a:moveTo>
                <a:cubicBezTo>
                  <a:pt x="40847" y="60271"/>
                  <a:pt x="39809" y="59445"/>
                  <a:pt x="38843" y="58643"/>
                </a:cubicBezTo>
                <a:cubicBezTo>
                  <a:pt x="45530" y="43363"/>
                  <a:pt x="50793" y="27232"/>
                  <a:pt x="55211" y="11320"/>
                </a:cubicBezTo>
                <a:cubicBezTo>
                  <a:pt x="68126" y="21839"/>
                  <a:pt x="82731" y="30512"/>
                  <a:pt x="97047" y="39233"/>
                </a:cubicBezTo>
                <a:cubicBezTo>
                  <a:pt x="94609" y="45185"/>
                  <a:pt x="91905" y="51064"/>
                  <a:pt x="89298" y="56942"/>
                </a:cubicBezTo>
                <a:cubicBezTo>
                  <a:pt x="84832" y="67048"/>
                  <a:pt x="81210" y="77348"/>
                  <a:pt x="77300" y="87600"/>
                </a:cubicBezTo>
                <a:cubicBezTo>
                  <a:pt x="65301" y="79025"/>
                  <a:pt x="53207" y="70619"/>
                  <a:pt x="41788" y="61072"/>
                </a:cubicBezTo>
                <a:close/>
                <a:moveTo>
                  <a:pt x="77058" y="181856"/>
                </a:moveTo>
                <a:cubicBezTo>
                  <a:pt x="66026" y="174593"/>
                  <a:pt x="56635" y="165896"/>
                  <a:pt x="47920" y="156349"/>
                </a:cubicBezTo>
                <a:cubicBezTo>
                  <a:pt x="60739" y="139975"/>
                  <a:pt x="71868" y="121707"/>
                  <a:pt x="80341" y="103245"/>
                </a:cubicBezTo>
                <a:cubicBezTo>
                  <a:pt x="84035" y="106087"/>
                  <a:pt x="87753" y="108953"/>
                  <a:pt x="91374" y="111941"/>
                </a:cubicBezTo>
                <a:cubicBezTo>
                  <a:pt x="98423" y="117747"/>
                  <a:pt x="105858" y="122898"/>
                  <a:pt x="113366" y="127853"/>
                </a:cubicBezTo>
                <a:cubicBezTo>
                  <a:pt x="108876" y="138785"/>
                  <a:pt x="104265" y="149571"/>
                  <a:pt x="99606" y="160138"/>
                </a:cubicBezTo>
                <a:cubicBezTo>
                  <a:pt x="95454" y="169564"/>
                  <a:pt x="91157" y="178844"/>
                  <a:pt x="86642" y="187978"/>
                </a:cubicBezTo>
                <a:cubicBezTo>
                  <a:pt x="83383" y="185938"/>
                  <a:pt x="80172" y="183897"/>
                  <a:pt x="77058" y="181856"/>
                </a:cubicBezTo>
                <a:close/>
                <a:moveTo>
                  <a:pt x="120102" y="254832"/>
                </a:moveTo>
                <a:cubicBezTo>
                  <a:pt x="113511" y="266930"/>
                  <a:pt x="105931" y="278032"/>
                  <a:pt x="97988" y="288745"/>
                </a:cubicBezTo>
                <a:cubicBezTo>
                  <a:pt x="90408" y="283498"/>
                  <a:pt x="84711" y="279319"/>
                  <a:pt x="83238" y="278080"/>
                </a:cubicBezTo>
                <a:cubicBezTo>
                  <a:pt x="74379" y="270598"/>
                  <a:pt x="66098" y="262581"/>
                  <a:pt x="58252" y="254128"/>
                </a:cubicBezTo>
                <a:cubicBezTo>
                  <a:pt x="62791" y="247836"/>
                  <a:pt x="67547" y="241762"/>
                  <a:pt x="71964" y="235349"/>
                </a:cubicBezTo>
                <a:cubicBezTo>
                  <a:pt x="79062" y="225049"/>
                  <a:pt x="85363" y="214409"/>
                  <a:pt x="91181" y="203477"/>
                </a:cubicBezTo>
                <a:cubicBezTo>
                  <a:pt x="105400" y="211737"/>
                  <a:pt x="120560" y="218587"/>
                  <a:pt x="135914" y="224126"/>
                </a:cubicBezTo>
                <a:cubicBezTo>
                  <a:pt x="130869" y="234499"/>
                  <a:pt x="125582" y="244750"/>
                  <a:pt x="120102" y="254832"/>
                </a:cubicBezTo>
                <a:close/>
              </a:path>
            </a:pathLst>
          </a:custGeom>
          <a:solidFill>
            <a:srgbClr val="AA6D44">
              <a:alpha val="20000"/>
            </a:srgbClr>
          </a:solidFill>
          <a:ln w="2367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0" name="Freeform 59">
            <a:extLst>
              <a:ext uri="{FF2B5EF4-FFF2-40B4-BE49-F238E27FC236}">
                <a16:creationId xmlns:a16="http://schemas.microsoft.com/office/drawing/2014/main" id="{FDCB115D-55A6-34A6-8DC0-A22F7849F79D}"/>
              </a:ext>
            </a:extLst>
          </xdr:cNvPr>
          <xdr:cNvSpPr/>
        </xdr:nvSpPr>
        <xdr:spPr>
          <a:xfrm>
            <a:off x="4622742" y="1502341"/>
            <a:ext cx="184727" cy="67907"/>
          </a:xfrm>
          <a:custGeom>
            <a:avLst/>
            <a:gdLst>
              <a:gd name="connsiteX0" fmla="*/ 172922 w 184727"/>
              <a:gd name="connsiteY0" fmla="*/ 4494 h 67907"/>
              <a:gd name="connsiteX1" fmla="*/ 152885 w 184727"/>
              <a:gd name="connsiteY1" fmla="*/ 146 h 67907"/>
              <a:gd name="connsiteX2" fmla="*/ 103927 w 184727"/>
              <a:gd name="connsiteY2" fmla="*/ 0 h 67907"/>
              <a:gd name="connsiteX3" fmla="*/ 71747 w 184727"/>
              <a:gd name="connsiteY3" fmla="*/ 1676 h 67907"/>
              <a:gd name="connsiteX4" fmla="*/ 4708 w 184727"/>
              <a:gd name="connsiteY4" fmla="*/ 10835 h 67907"/>
              <a:gd name="connsiteX5" fmla="*/ 0 w 184727"/>
              <a:gd name="connsiteY5" fmla="*/ 13070 h 67907"/>
              <a:gd name="connsiteX6" fmla="*/ 6856 w 184727"/>
              <a:gd name="connsiteY6" fmla="*/ 67243 h 67907"/>
              <a:gd name="connsiteX7" fmla="*/ 25807 w 184727"/>
              <a:gd name="connsiteY7" fmla="*/ 52958 h 67907"/>
              <a:gd name="connsiteX8" fmla="*/ 58373 w 184727"/>
              <a:gd name="connsiteY8" fmla="*/ 67680 h 67907"/>
              <a:gd name="connsiteX9" fmla="*/ 89853 w 184727"/>
              <a:gd name="connsiteY9" fmla="*/ 52521 h 67907"/>
              <a:gd name="connsiteX10" fmla="*/ 102430 w 184727"/>
              <a:gd name="connsiteY10" fmla="*/ 62748 h 67907"/>
              <a:gd name="connsiteX11" fmla="*/ 124061 w 184727"/>
              <a:gd name="connsiteY11" fmla="*/ 64255 h 67907"/>
              <a:gd name="connsiteX12" fmla="*/ 151823 w 184727"/>
              <a:gd name="connsiteY12" fmla="*/ 41881 h 67907"/>
              <a:gd name="connsiteX13" fmla="*/ 177654 w 184727"/>
              <a:gd name="connsiteY13" fmla="*/ 64279 h 67907"/>
              <a:gd name="connsiteX14" fmla="*/ 184727 w 184727"/>
              <a:gd name="connsiteY14" fmla="*/ 9426 h 67907"/>
              <a:gd name="connsiteX15" fmla="*/ 172922 w 184727"/>
              <a:gd name="connsiteY15" fmla="*/ 4494 h 6790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</a:cxnLst>
            <a:rect l="l" t="t" r="r" b="b"/>
            <a:pathLst>
              <a:path w="184727" h="67907">
                <a:moveTo>
                  <a:pt x="172922" y="4494"/>
                </a:moveTo>
                <a:cubicBezTo>
                  <a:pt x="166356" y="2381"/>
                  <a:pt x="159669" y="1020"/>
                  <a:pt x="152885" y="146"/>
                </a:cubicBezTo>
                <a:lnTo>
                  <a:pt x="103927" y="0"/>
                </a:lnTo>
                <a:cubicBezTo>
                  <a:pt x="93088" y="729"/>
                  <a:pt x="82297" y="1530"/>
                  <a:pt x="71747" y="1676"/>
                </a:cubicBezTo>
                <a:cubicBezTo>
                  <a:pt x="48548" y="1992"/>
                  <a:pt x="25058" y="1895"/>
                  <a:pt x="4708" y="10835"/>
                </a:cubicBezTo>
                <a:cubicBezTo>
                  <a:pt x="3235" y="11491"/>
                  <a:pt x="1642" y="12219"/>
                  <a:pt x="0" y="13070"/>
                </a:cubicBezTo>
                <a:cubicBezTo>
                  <a:pt x="1400" y="24924"/>
                  <a:pt x="3718" y="43946"/>
                  <a:pt x="6856" y="67243"/>
                </a:cubicBezTo>
                <a:cubicBezTo>
                  <a:pt x="14750" y="64352"/>
                  <a:pt x="21799" y="59275"/>
                  <a:pt x="25807" y="52958"/>
                </a:cubicBezTo>
                <a:cubicBezTo>
                  <a:pt x="36622" y="60999"/>
                  <a:pt x="43478" y="69405"/>
                  <a:pt x="58373" y="67680"/>
                </a:cubicBezTo>
                <a:cubicBezTo>
                  <a:pt x="70130" y="66344"/>
                  <a:pt x="80438" y="50626"/>
                  <a:pt x="89853" y="52521"/>
                </a:cubicBezTo>
                <a:cubicBezTo>
                  <a:pt x="93015" y="53153"/>
                  <a:pt x="98520" y="61072"/>
                  <a:pt x="102430" y="62748"/>
                </a:cubicBezTo>
                <a:cubicBezTo>
                  <a:pt x="109166" y="65639"/>
                  <a:pt x="117132" y="65882"/>
                  <a:pt x="124061" y="64255"/>
                </a:cubicBezTo>
                <a:cubicBezTo>
                  <a:pt x="136035" y="61412"/>
                  <a:pt x="145619" y="52108"/>
                  <a:pt x="151823" y="41881"/>
                </a:cubicBezTo>
                <a:cubicBezTo>
                  <a:pt x="161045" y="49072"/>
                  <a:pt x="164980" y="60149"/>
                  <a:pt x="177654" y="64279"/>
                </a:cubicBezTo>
                <a:cubicBezTo>
                  <a:pt x="181034" y="39670"/>
                  <a:pt x="183448" y="20163"/>
                  <a:pt x="184727" y="9426"/>
                </a:cubicBezTo>
                <a:cubicBezTo>
                  <a:pt x="179996" y="7118"/>
                  <a:pt x="175771" y="5393"/>
                  <a:pt x="172922" y="4494"/>
                </a:cubicBezTo>
                <a:close/>
              </a:path>
            </a:pathLst>
          </a:custGeom>
          <a:solidFill>
            <a:srgbClr val="AA6D44">
              <a:alpha val="20000"/>
            </a:srgbClr>
          </a:solidFill>
          <a:ln w="2367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1" name="Freeform 60">
            <a:extLst>
              <a:ext uri="{FF2B5EF4-FFF2-40B4-BE49-F238E27FC236}">
                <a16:creationId xmlns:a16="http://schemas.microsoft.com/office/drawing/2014/main" id="{6E4E0DE8-F0E1-D2EF-0161-2DE1A2CA11A1}"/>
              </a:ext>
            </a:extLst>
          </xdr:cNvPr>
          <xdr:cNvSpPr/>
        </xdr:nvSpPr>
        <xdr:spPr>
          <a:xfrm>
            <a:off x="4546355" y="1438389"/>
            <a:ext cx="352536" cy="113878"/>
          </a:xfrm>
          <a:custGeom>
            <a:avLst/>
            <a:gdLst>
              <a:gd name="connsiteX0" fmla="*/ 45148 w 352536"/>
              <a:gd name="connsiteY0" fmla="*/ 14565 h 113878"/>
              <a:gd name="connsiteX1" fmla="*/ 174 w 352536"/>
              <a:gd name="connsiteY1" fmla="*/ 61280 h 113878"/>
              <a:gd name="connsiteX2" fmla="*/ 50122 w 352536"/>
              <a:gd name="connsiteY2" fmla="*/ 79038 h 113878"/>
              <a:gd name="connsiteX3" fmla="*/ 73273 w 352536"/>
              <a:gd name="connsiteY3" fmla="*/ 113874 h 113878"/>
              <a:gd name="connsiteX4" fmla="*/ 104028 w 352536"/>
              <a:gd name="connsiteY4" fmla="*/ 82366 h 113878"/>
              <a:gd name="connsiteX5" fmla="*/ 117668 w 352536"/>
              <a:gd name="connsiteY5" fmla="*/ 108554 h 113878"/>
              <a:gd name="connsiteX6" fmla="*/ 165540 w 352536"/>
              <a:gd name="connsiteY6" fmla="*/ 93881 h 113878"/>
              <a:gd name="connsiteX7" fmla="*/ 227389 w 352536"/>
              <a:gd name="connsiteY7" fmla="*/ 82196 h 113878"/>
              <a:gd name="connsiteX8" fmla="*/ 263625 w 352536"/>
              <a:gd name="connsiteY8" fmla="*/ 103938 h 113878"/>
              <a:gd name="connsiteX9" fmla="*/ 287500 w 352536"/>
              <a:gd name="connsiteY9" fmla="*/ 66479 h 113878"/>
              <a:gd name="connsiteX10" fmla="*/ 339790 w 352536"/>
              <a:gd name="connsiteY10" fmla="*/ 87978 h 113878"/>
              <a:gd name="connsiteX11" fmla="*/ 337352 w 352536"/>
              <a:gd name="connsiteY11" fmla="*/ 31789 h 113878"/>
              <a:gd name="connsiteX12" fmla="*/ 286148 w 352536"/>
              <a:gd name="connsiteY12" fmla="*/ 7253 h 113878"/>
              <a:gd name="connsiteX13" fmla="*/ 217974 w 352536"/>
              <a:gd name="connsiteY13" fmla="*/ 354 h 113878"/>
              <a:gd name="connsiteX14" fmla="*/ 59826 w 352536"/>
              <a:gd name="connsiteY14" fmla="*/ 6937 h 113878"/>
              <a:gd name="connsiteX15" fmla="*/ 45148 w 352536"/>
              <a:gd name="connsiteY15" fmla="*/ 14565 h 11387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</a:cxnLst>
            <a:rect l="l" t="t" r="r" b="b"/>
            <a:pathLst>
              <a:path w="352536" h="113878">
                <a:moveTo>
                  <a:pt x="45148" y="14565"/>
                </a:moveTo>
                <a:cubicBezTo>
                  <a:pt x="34599" y="35846"/>
                  <a:pt x="2829" y="34364"/>
                  <a:pt x="174" y="61280"/>
                </a:cubicBezTo>
                <a:cubicBezTo>
                  <a:pt x="-2844" y="91889"/>
                  <a:pt x="34237" y="95825"/>
                  <a:pt x="50122" y="79038"/>
                </a:cubicBezTo>
                <a:cubicBezTo>
                  <a:pt x="50073" y="95679"/>
                  <a:pt x="55215" y="114214"/>
                  <a:pt x="73273" y="113874"/>
                </a:cubicBezTo>
                <a:cubicBezTo>
                  <a:pt x="88457" y="113583"/>
                  <a:pt x="97124" y="96213"/>
                  <a:pt x="104028" y="82366"/>
                </a:cubicBezTo>
                <a:cubicBezTo>
                  <a:pt x="108833" y="89071"/>
                  <a:pt x="113371" y="100319"/>
                  <a:pt x="117668" y="108554"/>
                </a:cubicBezTo>
                <a:cubicBezTo>
                  <a:pt x="134325" y="115405"/>
                  <a:pt x="155183" y="112611"/>
                  <a:pt x="165540" y="93881"/>
                </a:cubicBezTo>
                <a:cubicBezTo>
                  <a:pt x="180628" y="120701"/>
                  <a:pt x="218795" y="110740"/>
                  <a:pt x="227389" y="82196"/>
                </a:cubicBezTo>
                <a:cubicBezTo>
                  <a:pt x="235066" y="95193"/>
                  <a:pt x="245833" y="108384"/>
                  <a:pt x="263625" y="103938"/>
                </a:cubicBezTo>
                <a:cubicBezTo>
                  <a:pt x="283420" y="99007"/>
                  <a:pt x="286342" y="85840"/>
                  <a:pt x="287500" y="66479"/>
                </a:cubicBezTo>
                <a:cubicBezTo>
                  <a:pt x="297036" y="82682"/>
                  <a:pt x="320622" y="97064"/>
                  <a:pt x="339790" y="87978"/>
                </a:cubicBezTo>
                <a:cubicBezTo>
                  <a:pt x="364389" y="76293"/>
                  <a:pt x="347611" y="48259"/>
                  <a:pt x="337352" y="31789"/>
                </a:cubicBezTo>
                <a:cubicBezTo>
                  <a:pt x="324436" y="11067"/>
                  <a:pt x="307296" y="10581"/>
                  <a:pt x="286148" y="7253"/>
                </a:cubicBezTo>
                <a:cubicBezTo>
                  <a:pt x="263432" y="3682"/>
                  <a:pt x="241294" y="-11"/>
                  <a:pt x="217974" y="354"/>
                </a:cubicBezTo>
                <a:cubicBezTo>
                  <a:pt x="166723" y="1180"/>
                  <a:pt x="109919" y="-3509"/>
                  <a:pt x="59826" y="6937"/>
                </a:cubicBezTo>
                <a:lnTo>
                  <a:pt x="45148" y="14565"/>
                </a:lnTo>
                <a:close/>
              </a:path>
            </a:pathLst>
          </a:custGeom>
          <a:solidFill>
            <a:srgbClr val="FEB4B3"/>
          </a:solidFill>
          <a:ln w="2367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2" name="Freeform 61">
            <a:extLst>
              <a:ext uri="{FF2B5EF4-FFF2-40B4-BE49-F238E27FC236}">
                <a16:creationId xmlns:a16="http://schemas.microsoft.com/office/drawing/2014/main" id="{322183E6-6572-9FC3-CE7F-7AFB1FDC413B}"/>
              </a:ext>
            </a:extLst>
          </xdr:cNvPr>
          <xdr:cNvSpPr/>
        </xdr:nvSpPr>
        <xdr:spPr>
          <a:xfrm>
            <a:off x="4591859" y="1448797"/>
            <a:ext cx="257531" cy="51847"/>
          </a:xfrm>
          <a:custGeom>
            <a:avLst/>
            <a:gdLst>
              <a:gd name="connsiteX0" fmla="*/ 39019 w 257531"/>
              <a:gd name="connsiteY0" fmla="*/ 40695 h 51847"/>
              <a:gd name="connsiteX1" fmla="*/ 69558 w 257531"/>
              <a:gd name="connsiteY1" fmla="*/ 46501 h 51847"/>
              <a:gd name="connsiteX2" fmla="*/ 83656 w 257531"/>
              <a:gd name="connsiteY2" fmla="*/ 50850 h 51847"/>
              <a:gd name="connsiteX3" fmla="*/ 98913 w 257531"/>
              <a:gd name="connsiteY3" fmla="*/ 48833 h 51847"/>
              <a:gd name="connsiteX4" fmla="*/ 114653 w 257531"/>
              <a:gd name="connsiteY4" fmla="*/ 50631 h 51847"/>
              <a:gd name="connsiteX5" fmla="*/ 135246 w 257531"/>
              <a:gd name="connsiteY5" fmla="*/ 46866 h 51847"/>
              <a:gd name="connsiteX6" fmla="*/ 149899 w 257531"/>
              <a:gd name="connsiteY6" fmla="*/ 51457 h 51847"/>
              <a:gd name="connsiteX7" fmla="*/ 166001 w 257531"/>
              <a:gd name="connsiteY7" fmla="*/ 47303 h 51847"/>
              <a:gd name="connsiteX8" fmla="*/ 185193 w 257531"/>
              <a:gd name="connsiteY8" fmla="*/ 44631 h 51847"/>
              <a:gd name="connsiteX9" fmla="*/ 201971 w 257531"/>
              <a:gd name="connsiteY9" fmla="*/ 37683 h 51847"/>
              <a:gd name="connsiteX10" fmla="*/ 212111 w 257531"/>
              <a:gd name="connsiteY10" fmla="*/ 39553 h 51847"/>
              <a:gd name="connsiteX11" fmla="*/ 221550 w 257531"/>
              <a:gd name="connsiteY11" fmla="*/ 34185 h 51847"/>
              <a:gd name="connsiteX12" fmla="*/ 239438 w 257531"/>
              <a:gd name="connsiteY12" fmla="*/ 29278 h 51847"/>
              <a:gd name="connsiteX13" fmla="*/ 255540 w 257531"/>
              <a:gd name="connsiteY13" fmla="*/ 2458 h 51847"/>
              <a:gd name="connsiteX14" fmla="*/ 241394 w 257531"/>
              <a:gd name="connsiteY14" fmla="*/ 4620 h 51847"/>
              <a:gd name="connsiteX15" fmla="*/ 211193 w 257531"/>
              <a:gd name="connsiteY15" fmla="*/ 15309 h 51847"/>
              <a:gd name="connsiteX16" fmla="*/ 185073 w 257531"/>
              <a:gd name="connsiteY16" fmla="*/ 24298 h 51847"/>
              <a:gd name="connsiteX17" fmla="*/ 159025 w 257531"/>
              <a:gd name="connsiteY17" fmla="*/ 26581 h 51847"/>
              <a:gd name="connsiteX18" fmla="*/ 97996 w 257531"/>
              <a:gd name="connsiteY18" fmla="*/ 33262 h 51847"/>
              <a:gd name="connsiteX19" fmla="*/ 73179 w 257531"/>
              <a:gd name="connsiteY19" fmla="*/ 22500 h 51847"/>
              <a:gd name="connsiteX20" fmla="*/ 37909 w 257531"/>
              <a:gd name="connsiteY20" fmla="*/ 19075 h 51847"/>
              <a:gd name="connsiteX21" fmla="*/ 201 w 257531"/>
              <a:gd name="connsiteY21" fmla="*/ 14848 h 51847"/>
              <a:gd name="connsiteX22" fmla="*/ 13502 w 257531"/>
              <a:gd name="connsiteY22" fmla="*/ 34841 h 51847"/>
              <a:gd name="connsiteX23" fmla="*/ 39019 w 257531"/>
              <a:gd name="connsiteY23" fmla="*/ 40695 h 5184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</a:cxnLst>
            <a:rect l="l" t="t" r="r" b="b"/>
            <a:pathLst>
              <a:path w="257531" h="51847">
                <a:moveTo>
                  <a:pt x="39019" y="40695"/>
                </a:moveTo>
                <a:cubicBezTo>
                  <a:pt x="49255" y="46355"/>
                  <a:pt x="58550" y="44315"/>
                  <a:pt x="69558" y="46501"/>
                </a:cubicBezTo>
                <a:cubicBezTo>
                  <a:pt x="74265" y="47424"/>
                  <a:pt x="78925" y="50995"/>
                  <a:pt x="83656" y="50850"/>
                </a:cubicBezTo>
                <a:cubicBezTo>
                  <a:pt x="88605" y="50704"/>
                  <a:pt x="93506" y="48347"/>
                  <a:pt x="98913" y="48833"/>
                </a:cubicBezTo>
                <a:cubicBezTo>
                  <a:pt x="104055" y="49295"/>
                  <a:pt x="109318" y="51603"/>
                  <a:pt x="114653" y="50631"/>
                </a:cubicBezTo>
                <a:cubicBezTo>
                  <a:pt x="121316" y="49416"/>
                  <a:pt x="128438" y="43465"/>
                  <a:pt x="135246" y="46866"/>
                </a:cubicBezTo>
                <a:cubicBezTo>
                  <a:pt x="140508" y="49489"/>
                  <a:pt x="142971" y="53036"/>
                  <a:pt x="149899" y="51457"/>
                </a:cubicBezTo>
                <a:cubicBezTo>
                  <a:pt x="155355" y="50218"/>
                  <a:pt x="160449" y="48372"/>
                  <a:pt x="166001" y="47303"/>
                </a:cubicBezTo>
                <a:cubicBezTo>
                  <a:pt x="172012" y="46137"/>
                  <a:pt x="179472" y="46671"/>
                  <a:pt x="185193" y="44631"/>
                </a:cubicBezTo>
                <a:cubicBezTo>
                  <a:pt x="191229" y="42469"/>
                  <a:pt x="195043" y="37221"/>
                  <a:pt x="201971" y="37683"/>
                </a:cubicBezTo>
                <a:cubicBezTo>
                  <a:pt x="205399" y="37902"/>
                  <a:pt x="208538" y="40282"/>
                  <a:pt x="212111" y="39553"/>
                </a:cubicBezTo>
                <a:cubicBezTo>
                  <a:pt x="215659" y="38825"/>
                  <a:pt x="218242" y="35667"/>
                  <a:pt x="221550" y="34185"/>
                </a:cubicBezTo>
                <a:cubicBezTo>
                  <a:pt x="228261" y="31197"/>
                  <a:pt x="233813" y="34306"/>
                  <a:pt x="239438" y="29278"/>
                </a:cubicBezTo>
                <a:cubicBezTo>
                  <a:pt x="245160" y="24152"/>
                  <a:pt x="263555" y="15091"/>
                  <a:pt x="255540" y="2458"/>
                </a:cubicBezTo>
                <a:cubicBezTo>
                  <a:pt x="252040" y="-3032"/>
                  <a:pt x="245763" y="2021"/>
                  <a:pt x="241394" y="4620"/>
                </a:cubicBezTo>
                <a:cubicBezTo>
                  <a:pt x="232003" y="10232"/>
                  <a:pt x="221671" y="13026"/>
                  <a:pt x="211193" y="15309"/>
                </a:cubicBezTo>
                <a:cubicBezTo>
                  <a:pt x="202116" y="17277"/>
                  <a:pt x="193932" y="22063"/>
                  <a:pt x="185073" y="24298"/>
                </a:cubicBezTo>
                <a:cubicBezTo>
                  <a:pt x="176358" y="26508"/>
                  <a:pt x="167860" y="26994"/>
                  <a:pt x="159025" y="26581"/>
                </a:cubicBezTo>
                <a:cubicBezTo>
                  <a:pt x="138408" y="25609"/>
                  <a:pt x="118685" y="35084"/>
                  <a:pt x="97996" y="33262"/>
                </a:cubicBezTo>
                <a:cubicBezTo>
                  <a:pt x="88822" y="32436"/>
                  <a:pt x="81773" y="23277"/>
                  <a:pt x="73179" y="22500"/>
                </a:cubicBezTo>
                <a:cubicBezTo>
                  <a:pt x="60964" y="21382"/>
                  <a:pt x="49617" y="27917"/>
                  <a:pt x="37909" y="19075"/>
                </a:cubicBezTo>
                <a:cubicBezTo>
                  <a:pt x="30353" y="13390"/>
                  <a:pt x="4305" y="-6627"/>
                  <a:pt x="201" y="14848"/>
                </a:cubicBezTo>
                <a:cubicBezTo>
                  <a:pt x="-1441" y="23472"/>
                  <a:pt x="7346" y="32217"/>
                  <a:pt x="13502" y="34841"/>
                </a:cubicBezTo>
                <a:cubicBezTo>
                  <a:pt x="21710" y="38315"/>
                  <a:pt x="31029" y="36274"/>
                  <a:pt x="39019" y="40695"/>
                </a:cubicBezTo>
                <a:close/>
              </a:path>
            </a:pathLst>
          </a:custGeom>
          <a:solidFill>
            <a:srgbClr val="FD9DAA"/>
          </a:solidFill>
          <a:ln w="2367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3" name="Freeform 62">
            <a:extLst>
              <a:ext uri="{FF2B5EF4-FFF2-40B4-BE49-F238E27FC236}">
                <a16:creationId xmlns:a16="http://schemas.microsoft.com/office/drawing/2014/main" id="{8044CB02-D7D8-3485-682B-47ED37DCF271}"/>
              </a:ext>
            </a:extLst>
          </xdr:cNvPr>
          <xdr:cNvSpPr/>
        </xdr:nvSpPr>
        <xdr:spPr>
          <a:xfrm>
            <a:off x="4588682" y="1304424"/>
            <a:ext cx="258629" cy="180507"/>
          </a:xfrm>
          <a:custGeom>
            <a:avLst/>
            <a:gdLst>
              <a:gd name="connsiteX0" fmla="*/ 16003 w 258629"/>
              <a:gd name="connsiteY0" fmla="*/ 160748 h 180506"/>
              <a:gd name="connsiteX1" fmla="*/ 6491 w 258629"/>
              <a:gd name="connsiteY1" fmla="*/ 149889 h 180506"/>
              <a:gd name="connsiteX2" fmla="*/ 214 w 258629"/>
              <a:gd name="connsiteY2" fmla="*/ 132933 h 180506"/>
              <a:gd name="connsiteX3" fmla="*/ 2291 w 258629"/>
              <a:gd name="connsiteY3" fmla="*/ 115782 h 180506"/>
              <a:gd name="connsiteX4" fmla="*/ 13709 w 258629"/>
              <a:gd name="connsiteY4" fmla="*/ 68192 h 180506"/>
              <a:gd name="connsiteX5" fmla="*/ 44875 w 258629"/>
              <a:gd name="connsiteY5" fmla="*/ 28668 h 180506"/>
              <a:gd name="connsiteX6" fmla="*/ 97406 w 258629"/>
              <a:gd name="connsiteY6" fmla="*/ 2796 h 180506"/>
              <a:gd name="connsiteX7" fmla="*/ 157952 w 258629"/>
              <a:gd name="connsiteY7" fmla="*/ 3525 h 180506"/>
              <a:gd name="connsiteX8" fmla="*/ 186921 w 258629"/>
              <a:gd name="connsiteY8" fmla="*/ 10570 h 180506"/>
              <a:gd name="connsiteX9" fmla="*/ 207489 w 258629"/>
              <a:gd name="connsiteY9" fmla="*/ 22546 h 180506"/>
              <a:gd name="connsiteX10" fmla="*/ 236941 w 258629"/>
              <a:gd name="connsiteY10" fmla="*/ 56410 h 180506"/>
              <a:gd name="connsiteX11" fmla="*/ 246018 w 258629"/>
              <a:gd name="connsiteY11" fmla="*/ 71253 h 180506"/>
              <a:gd name="connsiteX12" fmla="*/ 252126 w 258629"/>
              <a:gd name="connsiteY12" fmla="*/ 92971 h 180506"/>
              <a:gd name="connsiteX13" fmla="*/ 252367 w 258629"/>
              <a:gd name="connsiteY13" fmla="*/ 150521 h 180506"/>
              <a:gd name="connsiteX14" fmla="*/ 223109 w 258629"/>
              <a:gd name="connsiteY14" fmla="*/ 167356 h 180506"/>
              <a:gd name="connsiteX15" fmla="*/ 182190 w 258629"/>
              <a:gd name="connsiteY15" fmla="*/ 177146 h 180506"/>
              <a:gd name="connsiteX16" fmla="*/ 161114 w 258629"/>
              <a:gd name="connsiteY16" fmla="*/ 180207 h 180506"/>
              <a:gd name="connsiteX17" fmla="*/ 139025 w 258629"/>
              <a:gd name="connsiteY17" fmla="*/ 180498 h 180506"/>
              <a:gd name="connsiteX18" fmla="*/ 111843 w 258629"/>
              <a:gd name="connsiteY18" fmla="*/ 178579 h 180506"/>
              <a:gd name="connsiteX19" fmla="*/ 79976 w 258629"/>
              <a:gd name="connsiteY19" fmla="*/ 175688 h 180506"/>
              <a:gd name="connsiteX20" fmla="*/ 16003 w 258629"/>
              <a:gd name="connsiteY20" fmla="*/ 160748 h 18050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</a:cxnLst>
            <a:rect l="l" t="t" r="r" b="b"/>
            <a:pathLst>
              <a:path w="258629" h="180506">
                <a:moveTo>
                  <a:pt x="16003" y="160748"/>
                </a:moveTo>
                <a:cubicBezTo>
                  <a:pt x="12237" y="157833"/>
                  <a:pt x="9002" y="154262"/>
                  <a:pt x="6491" y="149889"/>
                </a:cubicBezTo>
                <a:cubicBezTo>
                  <a:pt x="3570" y="144788"/>
                  <a:pt x="1156" y="138739"/>
                  <a:pt x="214" y="132933"/>
                </a:cubicBezTo>
                <a:cubicBezTo>
                  <a:pt x="-824" y="126519"/>
                  <a:pt x="2242" y="121977"/>
                  <a:pt x="2291" y="115782"/>
                </a:cubicBezTo>
                <a:cubicBezTo>
                  <a:pt x="2411" y="98704"/>
                  <a:pt x="4922" y="83132"/>
                  <a:pt x="13709" y="68192"/>
                </a:cubicBezTo>
                <a:cubicBezTo>
                  <a:pt x="22641" y="52985"/>
                  <a:pt x="31018" y="39818"/>
                  <a:pt x="44875" y="28668"/>
                </a:cubicBezTo>
                <a:cubicBezTo>
                  <a:pt x="61026" y="15647"/>
                  <a:pt x="77055" y="7484"/>
                  <a:pt x="97406" y="2796"/>
                </a:cubicBezTo>
                <a:cubicBezTo>
                  <a:pt x="117830" y="-1868"/>
                  <a:pt x="137480" y="-46"/>
                  <a:pt x="157952" y="3525"/>
                </a:cubicBezTo>
                <a:cubicBezTo>
                  <a:pt x="167343" y="5152"/>
                  <a:pt x="178303" y="6707"/>
                  <a:pt x="186921" y="10570"/>
                </a:cubicBezTo>
                <a:cubicBezTo>
                  <a:pt x="194163" y="13801"/>
                  <a:pt x="200778" y="18343"/>
                  <a:pt x="207489" y="22546"/>
                </a:cubicBezTo>
                <a:cubicBezTo>
                  <a:pt x="221902" y="31607"/>
                  <a:pt x="228492" y="41907"/>
                  <a:pt x="236941" y="56410"/>
                </a:cubicBezTo>
                <a:cubicBezTo>
                  <a:pt x="239862" y="61414"/>
                  <a:pt x="243315" y="66127"/>
                  <a:pt x="246018" y="71253"/>
                </a:cubicBezTo>
                <a:cubicBezTo>
                  <a:pt x="249519" y="77861"/>
                  <a:pt x="249978" y="85732"/>
                  <a:pt x="252126" y="92971"/>
                </a:cubicBezTo>
                <a:cubicBezTo>
                  <a:pt x="257316" y="110292"/>
                  <a:pt x="263593" y="134439"/>
                  <a:pt x="252367" y="150521"/>
                </a:cubicBezTo>
                <a:cubicBezTo>
                  <a:pt x="244932" y="161161"/>
                  <a:pt x="234793" y="163955"/>
                  <a:pt x="223109" y="167356"/>
                </a:cubicBezTo>
                <a:cubicBezTo>
                  <a:pt x="209614" y="171291"/>
                  <a:pt x="196071" y="174085"/>
                  <a:pt x="182190" y="177146"/>
                </a:cubicBezTo>
                <a:cubicBezTo>
                  <a:pt x="175358" y="178652"/>
                  <a:pt x="168043" y="179769"/>
                  <a:pt x="161114" y="180207"/>
                </a:cubicBezTo>
                <a:cubicBezTo>
                  <a:pt x="153800" y="180692"/>
                  <a:pt x="146364" y="180401"/>
                  <a:pt x="139025" y="180498"/>
                </a:cubicBezTo>
                <a:cubicBezTo>
                  <a:pt x="129538" y="180620"/>
                  <a:pt x="121209" y="179332"/>
                  <a:pt x="111843" y="178579"/>
                </a:cubicBezTo>
                <a:cubicBezTo>
                  <a:pt x="101245" y="177729"/>
                  <a:pt x="90550" y="176635"/>
                  <a:pt x="79976" y="175688"/>
                </a:cubicBezTo>
                <a:cubicBezTo>
                  <a:pt x="60374" y="173963"/>
                  <a:pt x="32901" y="173842"/>
                  <a:pt x="16003" y="160748"/>
                </a:cubicBezTo>
                <a:close/>
              </a:path>
            </a:pathLst>
          </a:custGeom>
          <a:solidFill>
            <a:srgbClr val="FEB4B3"/>
          </a:solidFill>
          <a:ln w="2367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62" name="Freeform 461">
            <a:extLst>
              <a:ext uri="{FF2B5EF4-FFF2-40B4-BE49-F238E27FC236}">
                <a16:creationId xmlns:a16="http://schemas.microsoft.com/office/drawing/2014/main" id="{D1A3A3CC-0AF4-6268-8546-0D094B181357}"/>
              </a:ext>
            </a:extLst>
          </xdr:cNvPr>
          <xdr:cNvSpPr/>
        </xdr:nvSpPr>
        <xdr:spPr>
          <a:xfrm>
            <a:off x="4603292" y="1339929"/>
            <a:ext cx="53676" cy="94846"/>
          </a:xfrm>
          <a:custGeom>
            <a:avLst/>
            <a:gdLst>
              <a:gd name="connsiteX0" fmla="*/ 43881 w 53676"/>
              <a:gd name="connsiteY0" fmla="*/ 982 h 94846"/>
              <a:gd name="connsiteX1" fmla="*/ 258 w 53676"/>
              <a:gd name="connsiteY1" fmla="*/ 89190 h 94846"/>
              <a:gd name="connsiteX2" fmla="*/ 14188 w 53676"/>
              <a:gd name="connsiteY2" fmla="*/ 86517 h 94846"/>
              <a:gd name="connsiteX3" fmla="*/ 24737 w 53676"/>
              <a:gd name="connsiteY3" fmla="*/ 41114 h 94846"/>
              <a:gd name="connsiteX4" fmla="*/ 50013 w 53676"/>
              <a:gd name="connsiteY4" fmla="*/ 13833 h 94846"/>
              <a:gd name="connsiteX5" fmla="*/ 43881 w 53676"/>
              <a:gd name="connsiteY5" fmla="*/ 982 h 9484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53676" h="94846">
                <a:moveTo>
                  <a:pt x="43881" y="982"/>
                </a:moveTo>
                <a:cubicBezTo>
                  <a:pt x="13295" y="18837"/>
                  <a:pt x="-2228" y="54839"/>
                  <a:pt x="258" y="89190"/>
                </a:cubicBezTo>
                <a:cubicBezTo>
                  <a:pt x="934" y="98372"/>
                  <a:pt x="14840" y="95579"/>
                  <a:pt x="14188" y="86517"/>
                </a:cubicBezTo>
                <a:cubicBezTo>
                  <a:pt x="13005" y="70217"/>
                  <a:pt x="15395" y="54791"/>
                  <a:pt x="24737" y="41114"/>
                </a:cubicBezTo>
                <a:cubicBezTo>
                  <a:pt x="31207" y="31640"/>
                  <a:pt x="40043" y="19663"/>
                  <a:pt x="50013" y="13833"/>
                </a:cubicBezTo>
                <a:cubicBezTo>
                  <a:pt x="57883" y="9266"/>
                  <a:pt x="51775" y="-3633"/>
                  <a:pt x="43881" y="982"/>
                </a:cubicBezTo>
                <a:close/>
              </a:path>
            </a:pathLst>
          </a:custGeom>
          <a:solidFill>
            <a:srgbClr val="FFFFFF"/>
          </a:solidFill>
          <a:ln w="2367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  <xdr:twoCellAnchor editAs="oneCell">
    <xdr:from>
      <xdr:col>13</xdr:col>
      <xdr:colOff>68099</xdr:colOff>
      <xdr:row>7</xdr:row>
      <xdr:rowOff>198116</xdr:rowOff>
    </xdr:from>
    <xdr:to>
      <xdr:col>14</xdr:col>
      <xdr:colOff>1828</xdr:colOff>
      <xdr:row>8</xdr:row>
      <xdr:rowOff>172715</xdr:rowOff>
    </xdr:to>
    <xdr:grpSp>
      <xdr:nvGrpSpPr>
        <xdr:cNvPr id="36" name="Group 35" descr="Red cocktail emoji">
          <a:extLst>
            <a:ext uri="{FF2B5EF4-FFF2-40B4-BE49-F238E27FC236}">
              <a16:creationId xmlns:a16="http://schemas.microsoft.com/office/drawing/2014/main" id="{698CE3D1-61B2-A43F-05CC-D3F3B8BE3ABF}"/>
            </a:ext>
          </a:extLst>
        </xdr:cNvPr>
        <xdr:cNvGrpSpPr/>
      </xdr:nvGrpSpPr>
      <xdr:grpSpPr>
        <a:xfrm>
          <a:off x="23372599" y="3963666"/>
          <a:ext cx="479829" cy="609599"/>
          <a:chOff x="4446722" y="1987611"/>
          <a:chExt cx="524279" cy="615219"/>
        </a:xfrm>
      </xdr:grpSpPr>
      <xdr:sp macro="" textlink="">
        <xdr:nvSpPr>
          <xdr:cNvPr id="44" name="Freeform 43">
            <a:extLst>
              <a:ext uri="{FF2B5EF4-FFF2-40B4-BE49-F238E27FC236}">
                <a16:creationId xmlns:a16="http://schemas.microsoft.com/office/drawing/2014/main" id="{02434AAE-80FA-930E-D853-F070D18267F4}"/>
              </a:ext>
            </a:extLst>
          </xdr:cNvPr>
          <xdr:cNvSpPr/>
        </xdr:nvSpPr>
        <xdr:spPr>
          <a:xfrm>
            <a:off x="4550819" y="2157280"/>
            <a:ext cx="350608" cy="445550"/>
          </a:xfrm>
          <a:custGeom>
            <a:avLst/>
            <a:gdLst>
              <a:gd name="connsiteX0" fmla="*/ 329163 w 350608"/>
              <a:gd name="connsiteY0" fmla="*/ 0 h 445550"/>
              <a:gd name="connsiteX1" fmla="*/ 255763 w 350608"/>
              <a:gd name="connsiteY1" fmla="*/ 0 h 445550"/>
              <a:gd name="connsiteX2" fmla="*/ 255763 w 350608"/>
              <a:gd name="connsiteY2" fmla="*/ 108895 h 445550"/>
              <a:gd name="connsiteX3" fmla="*/ 318911 w 350608"/>
              <a:gd name="connsiteY3" fmla="*/ 108895 h 445550"/>
              <a:gd name="connsiteX4" fmla="*/ 286836 w 350608"/>
              <a:gd name="connsiteY4" fmla="*/ 419771 h 445550"/>
              <a:gd name="connsiteX5" fmla="*/ 283188 w 350608"/>
              <a:gd name="connsiteY5" fmla="*/ 423051 h 445550"/>
              <a:gd name="connsiteX6" fmla="*/ 68419 w 350608"/>
              <a:gd name="connsiteY6" fmla="*/ 423051 h 445550"/>
              <a:gd name="connsiteX7" fmla="*/ 64709 w 350608"/>
              <a:gd name="connsiteY7" fmla="*/ 419735 h 445550"/>
              <a:gd name="connsiteX8" fmla="*/ 31907 w 350608"/>
              <a:gd name="connsiteY8" fmla="*/ 108895 h 445550"/>
              <a:gd name="connsiteX9" fmla="*/ 236898 w 350608"/>
              <a:gd name="connsiteY9" fmla="*/ 108895 h 445550"/>
              <a:gd name="connsiteX10" fmla="*/ 236898 w 350608"/>
              <a:gd name="connsiteY10" fmla="*/ 0 h 445550"/>
              <a:gd name="connsiteX11" fmla="*/ 21399 w 350608"/>
              <a:gd name="connsiteY11" fmla="*/ 0 h 445550"/>
              <a:gd name="connsiteX12" fmla="*/ 129 w 350608"/>
              <a:gd name="connsiteY12" fmla="*/ 23475 h 445550"/>
              <a:gd name="connsiteX13" fmla="*/ 42194 w 350608"/>
              <a:gd name="connsiteY13" fmla="*/ 422076 h 445550"/>
              <a:gd name="connsiteX14" fmla="*/ 68417 w 350608"/>
              <a:gd name="connsiteY14" fmla="*/ 445550 h 445550"/>
              <a:gd name="connsiteX15" fmla="*/ 283188 w 350608"/>
              <a:gd name="connsiteY15" fmla="*/ 445550 h 445550"/>
              <a:gd name="connsiteX16" fmla="*/ 309357 w 350608"/>
              <a:gd name="connsiteY16" fmla="*/ 422070 h 445550"/>
              <a:gd name="connsiteX17" fmla="*/ 350485 w 350608"/>
              <a:gd name="connsiteY17" fmla="*/ 23480 h 445550"/>
              <a:gd name="connsiteX18" fmla="*/ 329163 w 350608"/>
              <a:gd name="connsiteY18" fmla="*/ 0 h 4455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350608" h="445550">
                <a:moveTo>
                  <a:pt x="329163" y="0"/>
                </a:moveTo>
                <a:lnTo>
                  <a:pt x="255763" y="0"/>
                </a:lnTo>
                <a:lnTo>
                  <a:pt x="255763" y="108895"/>
                </a:lnTo>
                <a:lnTo>
                  <a:pt x="318911" y="108895"/>
                </a:lnTo>
                <a:lnTo>
                  <a:pt x="286836" y="419771"/>
                </a:lnTo>
                <a:cubicBezTo>
                  <a:pt x="286689" y="421213"/>
                  <a:pt x="284644" y="423051"/>
                  <a:pt x="283188" y="423051"/>
                </a:cubicBezTo>
                <a:lnTo>
                  <a:pt x="68419" y="423051"/>
                </a:lnTo>
                <a:cubicBezTo>
                  <a:pt x="66945" y="423051"/>
                  <a:pt x="64863" y="421189"/>
                  <a:pt x="64709" y="419735"/>
                </a:cubicBezTo>
                <a:lnTo>
                  <a:pt x="31907" y="108895"/>
                </a:lnTo>
                <a:lnTo>
                  <a:pt x="236898" y="108895"/>
                </a:lnTo>
                <a:lnTo>
                  <a:pt x="236898" y="0"/>
                </a:lnTo>
                <a:lnTo>
                  <a:pt x="21399" y="0"/>
                </a:lnTo>
                <a:cubicBezTo>
                  <a:pt x="8338" y="0"/>
                  <a:pt x="-1233" y="10563"/>
                  <a:pt x="129" y="23475"/>
                </a:cubicBezTo>
                <a:lnTo>
                  <a:pt x="42194" y="422076"/>
                </a:lnTo>
                <a:cubicBezTo>
                  <a:pt x="43557" y="434987"/>
                  <a:pt x="55357" y="445550"/>
                  <a:pt x="68417" y="445550"/>
                </a:cubicBezTo>
                <a:lnTo>
                  <a:pt x="283188" y="445550"/>
                </a:lnTo>
                <a:cubicBezTo>
                  <a:pt x="296249" y="445550"/>
                  <a:pt x="308025" y="434985"/>
                  <a:pt x="309357" y="422070"/>
                </a:cubicBezTo>
                <a:lnTo>
                  <a:pt x="350485" y="23480"/>
                </a:lnTo>
                <a:cubicBezTo>
                  <a:pt x="351818" y="10566"/>
                  <a:pt x="342224" y="0"/>
                  <a:pt x="329163" y="0"/>
                </a:cubicBezTo>
                <a:close/>
              </a:path>
            </a:pathLst>
          </a:custGeom>
          <a:solidFill>
            <a:srgbClr val="92A063"/>
          </a:solidFill>
          <a:ln w="2598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20895D9D-E631-C262-9599-36E24F58C318}"/>
              </a:ext>
            </a:extLst>
          </xdr:cNvPr>
          <xdr:cNvSpPr/>
        </xdr:nvSpPr>
        <xdr:spPr>
          <a:xfrm>
            <a:off x="4582727" y="2266178"/>
            <a:ext cx="287003" cy="314153"/>
          </a:xfrm>
          <a:custGeom>
            <a:avLst/>
            <a:gdLst>
              <a:gd name="connsiteX0" fmla="*/ 204991 w 287003"/>
              <a:gd name="connsiteY0" fmla="*/ 198526 h 314153"/>
              <a:gd name="connsiteX1" fmla="*/ 204991 w 287003"/>
              <a:gd name="connsiteY1" fmla="*/ 0 h 314153"/>
              <a:gd name="connsiteX2" fmla="*/ 0 w 287003"/>
              <a:gd name="connsiteY2" fmla="*/ 0 h 314153"/>
              <a:gd name="connsiteX3" fmla="*/ 32802 w 287003"/>
              <a:gd name="connsiteY3" fmla="*/ 310837 h 314153"/>
              <a:gd name="connsiteX4" fmla="*/ 36512 w 287003"/>
              <a:gd name="connsiteY4" fmla="*/ 314153 h 314153"/>
              <a:gd name="connsiteX5" fmla="*/ 251281 w 287003"/>
              <a:gd name="connsiteY5" fmla="*/ 314153 h 314153"/>
              <a:gd name="connsiteX6" fmla="*/ 254929 w 287003"/>
              <a:gd name="connsiteY6" fmla="*/ 310876 h 314153"/>
              <a:gd name="connsiteX7" fmla="*/ 287004 w 287003"/>
              <a:gd name="connsiteY7" fmla="*/ 0 h 314153"/>
              <a:gd name="connsiteX8" fmla="*/ 223856 w 287003"/>
              <a:gd name="connsiteY8" fmla="*/ 0 h 314153"/>
              <a:gd name="connsiteX9" fmla="*/ 223856 w 287003"/>
              <a:gd name="connsiteY9" fmla="*/ 198526 h 314153"/>
              <a:gd name="connsiteX10" fmla="*/ 204991 w 287003"/>
              <a:gd name="connsiteY10" fmla="*/ 198526 h 3141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287003" h="314153">
                <a:moveTo>
                  <a:pt x="204991" y="198526"/>
                </a:moveTo>
                <a:lnTo>
                  <a:pt x="204991" y="0"/>
                </a:lnTo>
                <a:lnTo>
                  <a:pt x="0" y="0"/>
                </a:lnTo>
                <a:lnTo>
                  <a:pt x="32802" y="310837"/>
                </a:lnTo>
                <a:cubicBezTo>
                  <a:pt x="32956" y="312292"/>
                  <a:pt x="35038" y="314153"/>
                  <a:pt x="36512" y="314153"/>
                </a:cubicBezTo>
                <a:lnTo>
                  <a:pt x="251281" y="314153"/>
                </a:lnTo>
                <a:cubicBezTo>
                  <a:pt x="252736" y="314153"/>
                  <a:pt x="254782" y="312315"/>
                  <a:pt x="254929" y="310876"/>
                </a:cubicBezTo>
                <a:lnTo>
                  <a:pt x="287004" y="0"/>
                </a:lnTo>
                <a:lnTo>
                  <a:pt x="223856" y="0"/>
                </a:lnTo>
                <a:lnTo>
                  <a:pt x="223856" y="198526"/>
                </a:lnTo>
                <a:lnTo>
                  <a:pt x="204991" y="198526"/>
                </a:lnTo>
                <a:close/>
              </a:path>
            </a:pathLst>
          </a:custGeom>
          <a:solidFill>
            <a:srgbClr val="D94D17"/>
          </a:solidFill>
          <a:ln w="2598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6" name="Freeform 45">
            <a:extLst>
              <a:ext uri="{FF2B5EF4-FFF2-40B4-BE49-F238E27FC236}">
                <a16:creationId xmlns:a16="http://schemas.microsoft.com/office/drawing/2014/main" id="{E2E8B103-F2BE-28EA-17FD-87C791044CB8}"/>
              </a:ext>
            </a:extLst>
          </xdr:cNvPr>
          <xdr:cNvSpPr/>
        </xdr:nvSpPr>
        <xdr:spPr>
          <a:xfrm>
            <a:off x="4787717" y="1987611"/>
            <a:ext cx="183284" cy="169669"/>
          </a:xfrm>
          <a:custGeom>
            <a:avLst/>
            <a:gdLst>
              <a:gd name="connsiteX0" fmla="*/ 18865 w 183284"/>
              <a:gd name="connsiteY0" fmla="*/ 83552 h 169669"/>
              <a:gd name="connsiteX1" fmla="*/ 183285 w 183284"/>
              <a:gd name="connsiteY1" fmla="*/ 17384 h 169669"/>
              <a:gd name="connsiteX2" fmla="*/ 176211 w 183284"/>
              <a:gd name="connsiteY2" fmla="*/ 0 h 169669"/>
              <a:gd name="connsiteX3" fmla="*/ 0 w 183284"/>
              <a:gd name="connsiteY3" fmla="*/ 70917 h 169669"/>
              <a:gd name="connsiteX4" fmla="*/ 0 w 183284"/>
              <a:gd name="connsiteY4" fmla="*/ 169669 h 169669"/>
              <a:gd name="connsiteX5" fmla="*/ 18865 w 183284"/>
              <a:gd name="connsiteY5" fmla="*/ 169669 h 169669"/>
              <a:gd name="connsiteX6" fmla="*/ 18865 w 183284"/>
              <a:gd name="connsiteY6" fmla="*/ 83552 h 16966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83284" h="169669">
                <a:moveTo>
                  <a:pt x="18865" y="83552"/>
                </a:moveTo>
                <a:lnTo>
                  <a:pt x="183285" y="17384"/>
                </a:lnTo>
                <a:lnTo>
                  <a:pt x="176211" y="0"/>
                </a:lnTo>
                <a:lnTo>
                  <a:pt x="0" y="70917"/>
                </a:lnTo>
                <a:lnTo>
                  <a:pt x="0" y="169669"/>
                </a:lnTo>
                <a:lnTo>
                  <a:pt x="18865" y="169669"/>
                </a:lnTo>
                <a:lnTo>
                  <a:pt x="18865" y="83552"/>
                </a:lnTo>
                <a:close/>
              </a:path>
            </a:pathLst>
          </a:custGeom>
          <a:solidFill>
            <a:srgbClr val="92A063"/>
          </a:solidFill>
          <a:ln w="2598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7" name="Freeform 46">
            <a:extLst>
              <a:ext uri="{FF2B5EF4-FFF2-40B4-BE49-F238E27FC236}">
                <a16:creationId xmlns:a16="http://schemas.microsoft.com/office/drawing/2014/main" id="{86C9F0EE-EB65-1345-1573-1AA51D883CA5}"/>
              </a:ext>
            </a:extLst>
          </xdr:cNvPr>
          <xdr:cNvSpPr/>
        </xdr:nvSpPr>
        <xdr:spPr>
          <a:xfrm>
            <a:off x="4787717" y="2157280"/>
            <a:ext cx="18864" cy="108896"/>
          </a:xfrm>
          <a:custGeom>
            <a:avLst/>
            <a:gdLst>
              <a:gd name="connsiteX0" fmla="*/ 0 w 18864"/>
              <a:gd name="connsiteY0" fmla="*/ 0 h 108896"/>
              <a:gd name="connsiteX1" fmla="*/ 18865 w 18864"/>
              <a:gd name="connsiteY1" fmla="*/ 0 h 108896"/>
              <a:gd name="connsiteX2" fmla="*/ 18865 w 18864"/>
              <a:gd name="connsiteY2" fmla="*/ 108896 h 108896"/>
              <a:gd name="connsiteX3" fmla="*/ 0 w 18864"/>
              <a:gd name="connsiteY3" fmla="*/ 108896 h 10889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8864" h="108896">
                <a:moveTo>
                  <a:pt x="0" y="0"/>
                </a:moveTo>
                <a:lnTo>
                  <a:pt x="18865" y="0"/>
                </a:lnTo>
                <a:lnTo>
                  <a:pt x="18865" y="108896"/>
                </a:lnTo>
                <a:lnTo>
                  <a:pt x="0" y="108896"/>
                </a:lnTo>
                <a:close/>
              </a:path>
            </a:pathLst>
          </a:custGeom>
          <a:solidFill>
            <a:srgbClr val="FFFFFF"/>
          </a:solidFill>
          <a:ln w="2598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8" name="Freeform 47">
            <a:extLst>
              <a:ext uri="{FF2B5EF4-FFF2-40B4-BE49-F238E27FC236}">
                <a16:creationId xmlns:a16="http://schemas.microsoft.com/office/drawing/2014/main" id="{9CFFCF2F-5530-2504-F5A4-17FDF52D8BC4}"/>
              </a:ext>
            </a:extLst>
          </xdr:cNvPr>
          <xdr:cNvSpPr/>
        </xdr:nvSpPr>
        <xdr:spPr>
          <a:xfrm>
            <a:off x="4787717" y="2266178"/>
            <a:ext cx="18864" cy="198525"/>
          </a:xfrm>
          <a:custGeom>
            <a:avLst/>
            <a:gdLst>
              <a:gd name="connsiteX0" fmla="*/ 0 w 18864"/>
              <a:gd name="connsiteY0" fmla="*/ 0 h 198525"/>
              <a:gd name="connsiteX1" fmla="*/ 18865 w 18864"/>
              <a:gd name="connsiteY1" fmla="*/ 0 h 198525"/>
              <a:gd name="connsiteX2" fmla="*/ 18865 w 18864"/>
              <a:gd name="connsiteY2" fmla="*/ 198525 h 198525"/>
              <a:gd name="connsiteX3" fmla="*/ 0 w 18864"/>
              <a:gd name="connsiteY3" fmla="*/ 198525 h 1985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8864" h="198525">
                <a:moveTo>
                  <a:pt x="0" y="0"/>
                </a:moveTo>
                <a:lnTo>
                  <a:pt x="18865" y="0"/>
                </a:lnTo>
                <a:lnTo>
                  <a:pt x="18865" y="198525"/>
                </a:lnTo>
                <a:lnTo>
                  <a:pt x="0" y="198525"/>
                </a:lnTo>
                <a:close/>
              </a:path>
            </a:pathLst>
          </a:custGeom>
          <a:solidFill>
            <a:srgbClr val="606E30"/>
          </a:solidFill>
          <a:ln w="2598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grpSp>
        <xdr:nvGrpSpPr>
          <xdr:cNvPr id="49" name="Graphic 23">
            <a:extLst>
              <a:ext uri="{FF2B5EF4-FFF2-40B4-BE49-F238E27FC236}">
                <a16:creationId xmlns:a16="http://schemas.microsoft.com/office/drawing/2014/main" id="{BBE0BBE0-8189-01C0-A558-A4E66667782E}"/>
              </a:ext>
            </a:extLst>
          </xdr:cNvPr>
          <xdr:cNvGrpSpPr/>
        </xdr:nvGrpSpPr>
        <xdr:grpSpPr>
          <a:xfrm>
            <a:off x="4446722" y="2051157"/>
            <a:ext cx="193471" cy="192307"/>
            <a:chOff x="4446722" y="2051157"/>
            <a:chExt cx="193471" cy="192307"/>
          </a:xfrm>
        </xdr:grpSpPr>
        <xdr:grpSp>
          <xdr:nvGrpSpPr>
            <xdr:cNvPr id="50" name="Graphic 23">
              <a:extLst>
                <a:ext uri="{FF2B5EF4-FFF2-40B4-BE49-F238E27FC236}">
                  <a16:creationId xmlns:a16="http://schemas.microsoft.com/office/drawing/2014/main" id="{B70BE875-013B-28A8-D965-065F2BAF07B5}"/>
                </a:ext>
              </a:extLst>
            </xdr:cNvPr>
            <xdr:cNvGrpSpPr/>
          </xdr:nvGrpSpPr>
          <xdr:grpSpPr>
            <a:xfrm>
              <a:off x="4446722" y="2051157"/>
              <a:ext cx="193471" cy="192307"/>
              <a:chOff x="4446722" y="2051157"/>
              <a:chExt cx="193471" cy="192307"/>
            </a:xfrm>
          </xdr:grpSpPr>
          <xdr:sp macro="" textlink="">
            <xdr:nvSpPr>
              <xdr:cNvPr id="56" name="Freeform 55">
                <a:extLst>
                  <a:ext uri="{FF2B5EF4-FFF2-40B4-BE49-F238E27FC236}">
                    <a16:creationId xmlns:a16="http://schemas.microsoft.com/office/drawing/2014/main" id="{60460691-9BC1-BE60-77AF-62CB6F91CC5A}"/>
                  </a:ext>
                </a:extLst>
              </xdr:cNvPr>
              <xdr:cNvSpPr/>
            </xdr:nvSpPr>
            <xdr:spPr>
              <a:xfrm>
                <a:off x="4446722" y="2051157"/>
                <a:ext cx="193471" cy="192307"/>
              </a:xfrm>
              <a:custGeom>
                <a:avLst/>
                <a:gdLst>
                  <a:gd name="connsiteX0" fmla="*/ 125497 w 193471"/>
                  <a:gd name="connsiteY0" fmla="*/ 106123 h 192307"/>
                  <a:gd name="connsiteX1" fmla="*/ 192951 w 193471"/>
                  <a:gd name="connsiteY1" fmla="*/ 106123 h 192307"/>
                  <a:gd name="connsiteX2" fmla="*/ 193472 w 193471"/>
                  <a:gd name="connsiteY2" fmla="*/ 96153 h 192307"/>
                  <a:gd name="connsiteX3" fmla="*/ 96735 w 193471"/>
                  <a:gd name="connsiteY3" fmla="*/ 0 h 192307"/>
                  <a:gd name="connsiteX4" fmla="*/ 0 w 193471"/>
                  <a:gd name="connsiteY4" fmla="*/ 96153 h 192307"/>
                  <a:gd name="connsiteX5" fmla="*/ 96735 w 193471"/>
                  <a:gd name="connsiteY5" fmla="*/ 192307 h 192307"/>
                  <a:gd name="connsiteX6" fmla="*/ 110726 w 193471"/>
                  <a:gd name="connsiteY6" fmla="*/ 191186 h 192307"/>
                  <a:gd name="connsiteX7" fmla="*/ 104227 w 193471"/>
                  <a:gd name="connsiteY7" fmla="*/ 129598 h 192307"/>
                  <a:gd name="connsiteX8" fmla="*/ 125497 w 193471"/>
                  <a:gd name="connsiteY8" fmla="*/ 106123 h 192307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</a:cxnLst>
                <a:rect l="l" t="t" r="r" b="b"/>
                <a:pathLst>
                  <a:path w="193471" h="192307">
                    <a:moveTo>
                      <a:pt x="125497" y="106123"/>
                    </a:moveTo>
                    <a:lnTo>
                      <a:pt x="192951" y="106123"/>
                    </a:lnTo>
                    <a:cubicBezTo>
                      <a:pt x="193290" y="102845"/>
                      <a:pt x="193472" y="99521"/>
                      <a:pt x="193472" y="96153"/>
                    </a:cubicBezTo>
                    <a:cubicBezTo>
                      <a:pt x="193472" y="43049"/>
                      <a:pt x="150160" y="0"/>
                      <a:pt x="96735" y="0"/>
                    </a:cubicBezTo>
                    <a:cubicBezTo>
                      <a:pt x="43310" y="0"/>
                      <a:pt x="0" y="43049"/>
                      <a:pt x="0" y="96153"/>
                    </a:cubicBezTo>
                    <a:cubicBezTo>
                      <a:pt x="0" y="149257"/>
                      <a:pt x="43310" y="192307"/>
                      <a:pt x="96735" y="192307"/>
                    </a:cubicBezTo>
                    <a:cubicBezTo>
                      <a:pt x="101500" y="192307"/>
                      <a:pt x="106146" y="191848"/>
                      <a:pt x="110726" y="191186"/>
                    </a:cubicBezTo>
                    <a:lnTo>
                      <a:pt x="104227" y="129598"/>
                    </a:lnTo>
                    <a:cubicBezTo>
                      <a:pt x="102865" y="116687"/>
                      <a:pt x="112436" y="106123"/>
                      <a:pt x="125497" y="106123"/>
                    </a:cubicBezTo>
                    <a:close/>
                  </a:path>
                </a:pathLst>
              </a:custGeom>
              <a:solidFill>
                <a:srgbClr val="D94D17"/>
              </a:solidFill>
              <a:ln w="2598" cap="flat">
                <a:noFill/>
                <a:prstDash val="solid"/>
                <a:miter/>
              </a:ln>
            </xdr:spPr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  <xdr:sp macro="" textlink="">
            <xdr:nvSpPr>
              <xdr:cNvPr id="57" name="Freeform 56">
                <a:extLst>
                  <a:ext uri="{FF2B5EF4-FFF2-40B4-BE49-F238E27FC236}">
                    <a16:creationId xmlns:a16="http://schemas.microsoft.com/office/drawing/2014/main" id="{F18A481D-F835-57E9-BFFE-081E2C70B708}"/>
                  </a:ext>
                </a:extLst>
              </xdr:cNvPr>
              <xdr:cNvSpPr/>
            </xdr:nvSpPr>
            <xdr:spPr>
              <a:xfrm>
                <a:off x="4550819" y="2157280"/>
                <a:ext cx="88853" cy="85062"/>
              </a:xfrm>
              <a:custGeom>
                <a:avLst/>
                <a:gdLst>
                  <a:gd name="connsiteX0" fmla="*/ 88854 w 88853"/>
                  <a:gd name="connsiteY0" fmla="*/ 0 h 85062"/>
                  <a:gd name="connsiteX1" fmla="*/ 21399 w 88853"/>
                  <a:gd name="connsiteY1" fmla="*/ 0 h 85062"/>
                  <a:gd name="connsiteX2" fmla="*/ 129 w 88853"/>
                  <a:gd name="connsiteY2" fmla="*/ 23475 h 85062"/>
                  <a:gd name="connsiteX3" fmla="*/ 6628 w 88853"/>
                  <a:gd name="connsiteY3" fmla="*/ 85063 h 85062"/>
                  <a:gd name="connsiteX4" fmla="*/ 88853 w 88853"/>
                  <a:gd name="connsiteY4" fmla="*/ 0 h 85062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88853" h="85062">
                    <a:moveTo>
                      <a:pt x="88854" y="0"/>
                    </a:moveTo>
                    <a:lnTo>
                      <a:pt x="21399" y="0"/>
                    </a:lnTo>
                    <a:cubicBezTo>
                      <a:pt x="8338" y="0"/>
                      <a:pt x="-1233" y="10563"/>
                      <a:pt x="129" y="23475"/>
                    </a:cubicBezTo>
                    <a:lnTo>
                      <a:pt x="6628" y="85063"/>
                    </a:lnTo>
                    <a:cubicBezTo>
                      <a:pt x="50149" y="78780"/>
                      <a:pt x="84312" y="43807"/>
                      <a:pt x="88853" y="0"/>
                    </a:cubicBezTo>
                    <a:close/>
                  </a:path>
                </a:pathLst>
              </a:custGeom>
              <a:solidFill>
                <a:srgbClr val="606E30"/>
              </a:solidFill>
              <a:ln w="2598" cap="flat">
                <a:noFill/>
                <a:prstDash val="solid"/>
                <a:miter/>
              </a:ln>
            </xdr:spPr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</xdr:grpSp>
        <xdr:sp macro="" textlink="">
          <xdr:nvSpPr>
            <xdr:cNvPr id="51" name="Freeform 50">
              <a:extLst>
                <a:ext uri="{FF2B5EF4-FFF2-40B4-BE49-F238E27FC236}">
                  <a16:creationId xmlns:a16="http://schemas.microsoft.com/office/drawing/2014/main" id="{59CE489D-8D51-9C44-BEC7-2C0505032619}"/>
                </a:ext>
              </a:extLst>
            </xdr:cNvPr>
            <xdr:cNvSpPr/>
          </xdr:nvSpPr>
          <xdr:spPr>
            <a:xfrm>
              <a:off x="4459590" y="2063948"/>
              <a:ext cx="167735" cy="166724"/>
            </a:xfrm>
            <a:custGeom>
              <a:avLst/>
              <a:gdLst>
                <a:gd name="connsiteX0" fmla="*/ 83868 w 167735"/>
                <a:gd name="connsiteY0" fmla="*/ 166725 h 166724"/>
                <a:gd name="connsiteX1" fmla="*/ 0 w 167735"/>
                <a:gd name="connsiteY1" fmla="*/ 83363 h 166724"/>
                <a:gd name="connsiteX2" fmla="*/ 83868 w 167735"/>
                <a:gd name="connsiteY2" fmla="*/ 0 h 166724"/>
                <a:gd name="connsiteX3" fmla="*/ 167736 w 167735"/>
                <a:gd name="connsiteY3" fmla="*/ 83363 h 166724"/>
                <a:gd name="connsiteX4" fmla="*/ 83868 w 167735"/>
                <a:gd name="connsiteY4" fmla="*/ 166725 h 166724"/>
                <a:gd name="connsiteX5" fmla="*/ 83868 w 167735"/>
                <a:gd name="connsiteY5" fmla="*/ 6251 h 166724"/>
                <a:gd name="connsiteX6" fmla="*/ 6288 w 167735"/>
                <a:gd name="connsiteY6" fmla="*/ 83363 h 166724"/>
                <a:gd name="connsiteX7" fmla="*/ 83868 w 167735"/>
                <a:gd name="connsiteY7" fmla="*/ 160476 h 166724"/>
                <a:gd name="connsiteX8" fmla="*/ 161447 w 167735"/>
                <a:gd name="connsiteY8" fmla="*/ 83363 h 166724"/>
                <a:gd name="connsiteX9" fmla="*/ 83868 w 167735"/>
                <a:gd name="connsiteY9" fmla="*/ 6251 h 16672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</a:cxnLst>
              <a:rect l="l" t="t" r="r" b="b"/>
              <a:pathLst>
                <a:path w="167735" h="166724">
                  <a:moveTo>
                    <a:pt x="83868" y="166725"/>
                  </a:moveTo>
                  <a:cubicBezTo>
                    <a:pt x="37626" y="166725"/>
                    <a:pt x="0" y="129326"/>
                    <a:pt x="0" y="83363"/>
                  </a:cubicBezTo>
                  <a:cubicBezTo>
                    <a:pt x="0" y="37400"/>
                    <a:pt x="37626" y="0"/>
                    <a:pt x="83868" y="0"/>
                  </a:cubicBezTo>
                  <a:cubicBezTo>
                    <a:pt x="130110" y="0"/>
                    <a:pt x="167736" y="37400"/>
                    <a:pt x="167736" y="83363"/>
                  </a:cubicBezTo>
                  <a:cubicBezTo>
                    <a:pt x="167736" y="129326"/>
                    <a:pt x="130110" y="166725"/>
                    <a:pt x="83868" y="166725"/>
                  </a:cubicBezTo>
                  <a:close/>
                  <a:moveTo>
                    <a:pt x="83868" y="6251"/>
                  </a:moveTo>
                  <a:cubicBezTo>
                    <a:pt x="41089" y="6251"/>
                    <a:pt x="6288" y="40842"/>
                    <a:pt x="6288" y="83363"/>
                  </a:cubicBezTo>
                  <a:cubicBezTo>
                    <a:pt x="6288" y="125884"/>
                    <a:pt x="41090" y="160476"/>
                    <a:pt x="83868" y="160476"/>
                  </a:cubicBezTo>
                  <a:cubicBezTo>
                    <a:pt x="126646" y="160476"/>
                    <a:pt x="161447" y="125884"/>
                    <a:pt x="161447" y="83363"/>
                  </a:cubicBezTo>
                  <a:cubicBezTo>
                    <a:pt x="161447" y="40842"/>
                    <a:pt x="126646" y="6251"/>
                    <a:pt x="83868" y="6251"/>
                  </a:cubicBezTo>
                  <a:close/>
                </a:path>
              </a:pathLst>
            </a:custGeom>
            <a:solidFill>
              <a:srgbClr val="FFFFFF"/>
            </a:solidFill>
            <a:ln w="2598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52" name="Freeform 51">
              <a:extLst>
                <a:ext uri="{FF2B5EF4-FFF2-40B4-BE49-F238E27FC236}">
                  <a16:creationId xmlns:a16="http://schemas.microsoft.com/office/drawing/2014/main" id="{116BE2AC-0F6D-2B74-6112-C455BDCB1331}"/>
                </a:ext>
              </a:extLst>
            </xdr:cNvPr>
            <xdr:cNvSpPr/>
          </xdr:nvSpPr>
          <xdr:spPr>
            <a:xfrm>
              <a:off x="4539657" y="2067079"/>
              <a:ext cx="6288" cy="160469"/>
            </a:xfrm>
            <a:custGeom>
              <a:avLst/>
              <a:gdLst>
                <a:gd name="connsiteX0" fmla="*/ 0 w 6288"/>
                <a:gd name="connsiteY0" fmla="*/ 0 h 160469"/>
                <a:gd name="connsiteX1" fmla="*/ 6289 w 6288"/>
                <a:gd name="connsiteY1" fmla="*/ 0 h 160469"/>
                <a:gd name="connsiteX2" fmla="*/ 6289 w 6288"/>
                <a:gd name="connsiteY2" fmla="*/ 160469 h 160469"/>
                <a:gd name="connsiteX3" fmla="*/ 0 w 6288"/>
                <a:gd name="connsiteY3" fmla="*/ 160469 h 160469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6288" h="160469">
                  <a:moveTo>
                    <a:pt x="0" y="0"/>
                  </a:moveTo>
                  <a:lnTo>
                    <a:pt x="6289" y="0"/>
                  </a:lnTo>
                  <a:lnTo>
                    <a:pt x="6289" y="160469"/>
                  </a:lnTo>
                  <a:lnTo>
                    <a:pt x="0" y="160469"/>
                  </a:lnTo>
                  <a:close/>
                </a:path>
              </a:pathLst>
            </a:custGeom>
            <a:solidFill>
              <a:srgbClr val="FFFFFF"/>
            </a:solidFill>
            <a:ln w="2598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53" name="Freeform 52">
              <a:extLst>
                <a:ext uri="{FF2B5EF4-FFF2-40B4-BE49-F238E27FC236}">
                  <a16:creationId xmlns:a16="http://schemas.microsoft.com/office/drawing/2014/main" id="{12D46830-08B2-5F7C-C363-005EED217D8A}"/>
                </a:ext>
              </a:extLst>
            </xdr:cNvPr>
            <xdr:cNvSpPr/>
          </xdr:nvSpPr>
          <xdr:spPr>
            <a:xfrm>
              <a:off x="4462078" y="2144186"/>
              <a:ext cx="161440" cy="6249"/>
            </a:xfrm>
            <a:custGeom>
              <a:avLst/>
              <a:gdLst>
                <a:gd name="connsiteX0" fmla="*/ 0 w 161440"/>
                <a:gd name="connsiteY0" fmla="*/ 0 h 6249"/>
                <a:gd name="connsiteX1" fmla="*/ 161441 w 161440"/>
                <a:gd name="connsiteY1" fmla="*/ 0 h 6249"/>
                <a:gd name="connsiteX2" fmla="*/ 161441 w 161440"/>
                <a:gd name="connsiteY2" fmla="*/ 6250 h 6249"/>
                <a:gd name="connsiteX3" fmla="*/ 0 w 161440"/>
                <a:gd name="connsiteY3" fmla="*/ 6250 h 6249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61440" h="6249">
                  <a:moveTo>
                    <a:pt x="0" y="0"/>
                  </a:moveTo>
                  <a:lnTo>
                    <a:pt x="161441" y="0"/>
                  </a:lnTo>
                  <a:lnTo>
                    <a:pt x="161441" y="6250"/>
                  </a:lnTo>
                  <a:lnTo>
                    <a:pt x="0" y="6250"/>
                  </a:lnTo>
                  <a:close/>
                </a:path>
              </a:pathLst>
            </a:custGeom>
            <a:solidFill>
              <a:srgbClr val="FFFFFF"/>
            </a:solidFill>
            <a:ln w="2598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54" name="Freeform 53">
              <a:extLst>
                <a:ext uri="{FF2B5EF4-FFF2-40B4-BE49-F238E27FC236}">
                  <a16:creationId xmlns:a16="http://schemas.microsoft.com/office/drawing/2014/main" id="{B0000BAE-5784-AAA0-71F9-199CC1769FDB}"/>
                </a:ext>
              </a:extLst>
            </xdr:cNvPr>
            <xdr:cNvSpPr/>
          </xdr:nvSpPr>
          <xdr:spPr>
            <a:xfrm rot="-2700000">
              <a:off x="4539654" y="2067080"/>
              <a:ext cx="6287" cy="160467"/>
            </a:xfrm>
            <a:custGeom>
              <a:avLst/>
              <a:gdLst>
                <a:gd name="connsiteX0" fmla="*/ 0 w 6287"/>
                <a:gd name="connsiteY0" fmla="*/ 0 h 160467"/>
                <a:gd name="connsiteX1" fmla="*/ 6288 w 6287"/>
                <a:gd name="connsiteY1" fmla="*/ 0 h 160467"/>
                <a:gd name="connsiteX2" fmla="*/ 6288 w 6287"/>
                <a:gd name="connsiteY2" fmla="*/ 160467 h 160467"/>
                <a:gd name="connsiteX3" fmla="*/ 0 w 6287"/>
                <a:gd name="connsiteY3" fmla="*/ 160467 h 16046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6287" h="160467">
                  <a:moveTo>
                    <a:pt x="0" y="0"/>
                  </a:moveTo>
                  <a:lnTo>
                    <a:pt x="6288" y="0"/>
                  </a:lnTo>
                  <a:lnTo>
                    <a:pt x="6288" y="160467"/>
                  </a:lnTo>
                  <a:lnTo>
                    <a:pt x="0" y="160467"/>
                  </a:lnTo>
                  <a:close/>
                </a:path>
              </a:pathLst>
            </a:custGeom>
            <a:solidFill>
              <a:srgbClr val="FFFFFF"/>
            </a:solidFill>
            <a:ln w="2598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55" name="Freeform 54">
              <a:extLst>
                <a:ext uri="{FF2B5EF4-FFF2-40B4-BE49-F238E27FC236}">
                  <a16:creationId xmlns:a16="http://schemas.microsoft.com/office/drawing/2014/main" id="{5A7B73C5-E8AA-1E75-E7BE-29236ABCC92C}"/>
                </a:ext>
              </a:extLst>
            </xdr:cNvPr>
            <xdr:cNvSpPr/>
          </xdr:nvSpPr>
          <xdr:spPr>
            <a:xfrm rot="-2700000">
              <a:off x="4462078" y="2144189"/>
              <a:ext cx="161439" cy="6249"/>
            </a:xfrm>
            <a:custGeom>
              <a:avLst/>
              <a:gdLst>
                <a:gd name="connsiteX0" fmla="*/ 0 w 161439"/>
                <a:gd name="connsiteY0" fmla="*/ 0 h 6249"/>
                <a:gd name="connsiteX1" fmla="*/ 161440 w 161439"/>
                <a:gd name="connsiteY1" fmla="*/ 0 h 6249"/>
                <a:gd name="connsiteX2" fmla="*/ 161440 w 161439"/>
                <a:gd name="connsiteY2" fmla="*/ 6250 h 6249"/>
                <a:gd name="connsiteX3" fmla="*/ 0 w 161439"/>
                <a:gd name="connsiteY3" fmla="*/ 6250 h 6249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61439" h="6249">
                  <a:moveTo>
                    <a:pt x="0" y="0"/>
                  </a:moveTo>
                  <a:lnTo>
                    <a:pt x="161440" y="0"/>
                  </a:lnTo>
                  <a:lnTo>
                    <a:pt x="161440" y="6250"/>
                  </a:lnTo>
                  <a:lnTo>
                    <a:pt x="0" y="6250"/>
                  </a:lnTo>
                  <a:close/>
                </a:path>
              </a:pathLst>
            </a:custGeom>
            <a:solidFill>
              <a:srgbClr val="FFFFFF"/>
            </a:solidFill>
            <a:ln w="2598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</xdr:grpSp>
    <xdr:clientData/>
  </xdr:twoCellAnchor>
  <xdr:twoCellAnchor editAs="oneCell">
    <xdr:from>
      <xdr:col>11</xdr:col>
      <xdr:colOff>441193</xdr:colOff>
      <xdr:row>10</xdr:row>
      <xdr:rowOff>126355</xdr:rowOff>
    </xdr:from>
    <xdr:to>
      <xdr:col>12</xdr:col>
      <xdr:colOff>456619</xdr:colOff>
      <xdr:row>11</xdr:row>
      <xdr:rowOff>609548</xdr:rowOff>
    </xdr:to>
    <xdr:pic>
      <xdr:nvPicPr>
        <xdr:cNvPr id="282" name="Graphic 997" descr="Cat emjoi">
          <a:extLst>
            <a:ext uri="{FF2B5EF4-FFF2-40B4-BE49-F238E27FC236}">
              <a16:creationId xmlns:a16="http://schemas.microsoft.com/office/drawing/2014/main" id="{CB152A15-414E-CE8E-BB92-D96F80F39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816739" y="5046271"/>
          <a:ext cx="736039" cy="739327"/>
        </a:xfrm>
        <a:prstGeom prst="rect">
          <a:avLst/>
        </a:prstGeom>
      </xdr:spPr>
    </xdr:pic>
    <xdr:clientData/>
  </xdr:twoCellAnchor>
  <xdr:twoCellAnchor editAs="oneCell">
    <xdr:from>
      <xdr:col>12</xdr:col>
      <xdr:colOff>633235</xdr:colOff>
      <xdr:row>10</xdr:row>
      <xdr:rowOff>205496</xdr:rowOff>
    </xdr:from>
    <xdr:to>
      <xdr:col>14</xdr:col>
      <xdr:colOff>107932</xdr:colOff>
      <xdr:row>11</xdr:row>
      <xdr:rowOff>505658</xdr:rowOff>
    </xdr:to>
    <xdr:grpSp>
      <xdr:nvGrpSpPr>
        <xdr:cNvPr id="283" name="Group 282" descr="Dog emoji">
          <a:extLst>
            <a:ext uri="{FF2B5EF4-FFF2-40B4-BE49-F238E27FC236}">
              <a16:creationId xmlns:a16="http://schemas.microsoft.com/office/drawing/2014/main" id="{95447850-5116-92CA-1F42-80F529134122}"/>
            </a:ext>
          </a:extLst>
        </xdr:cNvPr>
        <xdr:cNvGrpSpPr/>
      </xdr:nvGrpSpPr>
      <xdr:grpSpPr>
        <a:xfrm rot="945700">
          <a:off x="23305910" y="5498221"/>
          <a:ext cx="649447" cy="557337"/>
          <a:chOff x="4992963" y="2316613"/>
          <a:chExt cx="1407019" cy="1024002"/>
        </a:xfrm>
      </xdr:grpSpPr>
      <xdr:sp macro="" textlink="">
        <xdr:nvSpPr>
          <xdr:cNvPr id="284" name="Freeform 283">
            <a:extLst>
              <a:ext uri="{FF2B5EF4-FFF2-40B4-BE49-F238E27FC236}">
                <a16:creationId xmlns:a16="http://schemas.microsoft.com/office/drawing/2014/main" id="{99B0374E-F097-8510-26D8-DB0CECF10CD4}"/>
              </a:ext>
            </a:extLst>
          </xdr:cNvPr>
          <xdr:cNvSpPr/>
        </xdr:nvSpPr>
        <xdr:spPr>
          <a:xfrm>
            <a:off x="5123973" y="2464803"/>
            <a:ext cx="285138" cy="396982"/>
          </a:xfrm>
          <a:custGeom>
            <a:avLst/>
            <a:gdLst>
              <a:gd name="connsiteX0" fmla="*/ 161449 w 285138"/>
              <a:gd name="connsiteY0" fmla="*/ 22269 h 396982"/>
              <a:gd name="connsiteX1" fmla="*/ 273177 w 285138"/>
              <a:gd name="connsiteY1" fmla="*/ 8267 h 396982"/>
              <a:gd name="connsiteX2" fmla="*/ 150114 w 285138"/>
              <a:gd name="connsiteY2" fmla="*/ 396982 h 396982"/>
              <a:gd name="connsiteX3" fmla="*/ 0 w 285138"/>
              <a:gd name="connsiteY3" fmla="*/ 212102 h 396982"/>
              <a:gd name="connsiteX4" fmla="*/ 161449 w 285138"/>
              <a:gd name="connsiteY4" fmla="*/ 22269 h 39698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85138" h="396982">
                <a:moveTo>
                  <a:pt x="161449" y="22269"/>
                </a:moveTo>
                <a:cubicBezTo>
                  <a:pt x="161449" y="22269"/>
                  <a:pt x="213550" y="-16498"/>
                  <a:pt x="273177" y="8267"/>
                </a:cubicBezTo>
                <a:cubicBezTo>
                  <a:pt x="332804" y="33032"/>
                  <a:pt x="150114" y="396982"/>
                  <a:pt x="150114" y="396982"/>
                </a:cubicBezTo>
                <a:lnTo>
                  <a:pt x="0" y="212102"/>
                </a:lnTo>
                <a:lnTo>
                  <a:pt x="161449" y="22269"/>
                </a:lnTo>
                <a:close/>
              </a:path>
            </a:pathLst>
          </a:custGeom>
          <a:solidFill>
            <a:srgbClr val="321A1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85" name="Freeform 284">
            <a:extLst>
              <a:ext uri="{FF2B5EF4-FFF2-40B4-BE49-F238E27FC236}">
                <a16:creationId xmlns:a16="http://schemas.microsoft.com/office/drawing/2014/main" id="{B182C8B8-E453-B3E5-2DFA-E571B0830E38}"/>
              </a:ext>
            </a:extLst>
          </xdr:cNvPr>
          <xdr:cNvSpPr/>
        </xdr:nvSpPr>
        <xdr:spPr>
          <a:xfrm>
            <a:off x="5771965" y="2318224"/>
            <a:ext cx="342417" cy="312484"/>
          </a:xfrm>
          <a:custGeom>
            <a:avLst/>
            <a:gdLst>
              <a:gd name="connsiteX0" fmla="*/ 105150 w 342417"/>
              <a:gd name="connsiteY0" fmla="*/ 160 h 312484"/>
              <a:gd name="connsiteX1" fmla="*/ 2851 w 342417"/>
              <a:gd name="connsiteY1" fmla="*/ 47118 h 312484"/>
              <a:gd name="connsiteX2" fmla="*/ 312414 w 342417"/>
              <a:gd name="connsiteY2" fmla="*/ 312485 h 312484"/>
              <a:gd name="connsiteX3" fmla="*/ 342417 w 342417"/>
              <a:gd name="connsiteY3" fmla="*/ 76265 h 312484"/>
              <a:gd name="connsiteX4" fmla="*/ 105150 w 342417"/>
              <a:gd name="connsiteY4" fmla="*/ 160 h 31248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42417" h="312484">
                <a:moveTo>
                  <a:pt x="105150" y="160"/>
                </a:moveTo>
                <a:cubicBezTo>
                  <a:pt x="105150" y="160"/>
                  <a:pt x="40475" y="-5269"/>
                  <a:pt x="2851" y="47118"/>
                </a:cubicBezTo>
                <a:cubicBezTo>
                  <a:pt x="-34773" y="99601"/>
                  <a:pt x="312414" y="312485"/>
                  <a:pt x="312414" y="312485"/>
                </a:cubicBezTo>
                <a:lnTo>
                  <a:pt x="342417" y="76265"/>
                </a:lnTo>
                <a:lnTo>
                  <a:pt x="105150" y="160"/>
                </a:lnTo>
                <a:close/>
              </a:path>
            </a:pathLst>
          </a:custGeom>
          <a:solidFill>
            <a:srgbClr val="321A1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03" name="Freeform 302">
            <a:extLst>
              <a:ext uri="{FF2B5EF4-FFF2-40B4-BE49-F238E27FC236}">
                <a16:creationId xmlns:a16="http://schemas.microsoft.com/office/drawing/2014/main" id="{AD05AD7B-2CA3-E0AA-F403-F0A6E85EE030}"/>
              </a:ext>
            </a:extLst>
          </xdr:cNvPr>
          <xdr:cNvSpPr/>
        </xdr:nvSpPr>
        <xdr:spPr>
          <a:xfrm>
            <a:off x="5282213" y="2330577"/>
            <a:ext cx="561945" cy="948754"/>
          </a:xfrm>
          <a:custGeom>
            <a:avLst/>
            <a:gdLst>
              <a:gd name="connsiteX0" fmla="*/ 3018 w 561945"/>
              <a:gd name="connsiteY0" fmla="*/ 540353 h 948754"/>
              <a:gd name="connsiteX1" fmla="*/ 147798 w 561945"/>
              <a:gd name="connsiteY1" fmla="*/ 816293 h 948754"/>
              <a:gd name="connsiteX2" fmla="*/ 561945 w 561945"/>
              <a:gd name="connsiteY2" fmla="*/ 925640 h 948754"/>
              <a:gd name="connsiteX3" fmla="*/ 297912 w 561945"/>
              <a:gd name="connsiteY3" fmla="*/ 0 h 948754"/>
              <a:gd name="connsiteX4" fmla="*/ 3018 w 561945"/>
              <a:gd name="connsiteY4" fmla="*/ 540353 h 94875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561945" h="948754">
                <a:moveTo>
                  <a:pt x="3018" y="540353"/>
                </a:moveTo>
                <a:cubicBezTo>
                  <a:pt x="10257" y="632555"/>
                  <a:pt x="81980" y="756285"/>
                  <a:pt x="147798" y="816293"/>
                </a:cubicBezTo>
                <a:cubicBezTo>
                  <a:pt x="304389" y="959263"/>
                  <a:pt x="314581" y="969931"/>
                  <a:pt x="561945" y="925640"/>
                </a:cubicBezTo>
                <a:lnTo>
                  <a:pt x="297912" y="0"/>
                </a:lnTo>
                <a:cubicBezTo>
                  <a:pt x="16163" y="78010"/>
                  <a:pt x="-11365" y="357283"/>
                  <a:pt x="3018" y="540353"/>
                </a:cubicBezTo>
                <a:close/>
              </a:path>
            </a:pathLst>
          </a:custGeom>
          <a:solidFill>
            <a:srgbClr val="E55A2F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04" name="Freeform 303">
            <a:extLst>
              <a:ext uri="{FF2B5EF4-FFF2-40B4-BE49-F238E27FC236}">
                <a16:creationId xmlns:a16="http://schemas.microsoft.com/office/drawing/2014/main" id="{36CD46B6-5C96-0B28-649B-55A423E8FD29}"/>
              </a:ext>
            </a:extLst>
          </xdr:cNvPr>
          <xdr:cNvSpPr/>
        </xdr:nvSpPr>
        <xdr:spPr>
          <a:xfrm>
            <a:off x="5580221" y="2316613"/>
            <a:ext cx="571758" cy="939603"/>
          </a:xfrm>
          <a:custGeom>
            <a:avLst/>
            <a:gdLst>
              <a:gd name="connsiteX0" fmla="*/ 528066 w 571758"/>
              <a:gd name="connsiteY0" fmla="*/ 321145 h 939603"/>
              <a:gd name="connsiteX1" fmla="*/ 191 w 571758"/>
              <a:gd name="connsiteY1" fmla="*/ 13869 h 939603"/>
              <a:gd name="connsiteX2" fmla="*/ 0 w 571758"/>
              <a:gd name="connsiteY2" fmla="*/ 13964 h 939603"/>
              <a:gd name="connsiteX3" fmla="*/ 264033 w 571758"/>
              <a:gd name="connsiteY3" fmla="*/ 939603 h 939603"/>
              <a:gd name="connsiteX4" fmla="*/ 264223 w 571758"/>
              <a:gd name="connsiteY4" fmla="*/ 939603 h 939603"/>
              <a:gd name="connsiteX5" fmla="*/ 558736 w 571758"/>
              <a:gd name="connsiteY5" fmla="*/ 628231 h 939603"/>
              <a:gd name="connsiteX6" fmla="*/ 528066 w 571758"/>
              <a:gd name="connsiteY6" fmla="*/ 321145 h 93960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571758" h="939603">
                <a:moveTo>
                  <a:pt x="528066" y="321145"/>
                </a:moveTo>
                <a:cubicBezTo>
                  <a:pt x="436245" y="161792"/>
                  <a:pt x="258604" y="-57474"/>
                  <a:pt x="191" y="13869"/>
                </a:cubicBezTo>
                <a:cubicBezTo>
                  <a:pt x="95" y="13869"/>
                  <a:pt x="95" y="13869"/>
                  <a:pt x="0" y="13964"/>
                </a:cubicBezTo>
                <a:lnTo>
                  <a:pt x="264033" y="939603"/>
                </a:lnTo>
                <a:cubicBezTo>
                  <a:pt x="264128" y="939603"/>
                  <a:pt x="264128" y="939508"/>
                  <a:pt x="264223" y="939603"/>
                </a:cubicBezTo>
                <a:cubicBezTo>
                  <a:pt x="532829" y="891407"/>
                  <a:pt x="502348" y="828066"/>
                  <a:pt x="558736" y="628231"/>
                </a:cubicBezTo>
                <a:cubicBezTo>
                  <a:pt x="582835" y="542411"/>
                  <a:pt x="573977" y="401060"/>
                  <a:pt x="528066" y="321145"/>
                </a:cubicBezTo>
                <a:close/>
              </a:path>
            </a:pathLst>
          </a:custGeom>
          <a:solidFill>
            <a:srgbClr val="CD3C1D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05" name="Freeform 304">
            <a:extLst>
              <a:ext uri="{FF2B5EF4-FFF2-40B4-BE49-F238E27FC236}">
                <a16:creationId xmlns:a16="http://schemas.microsoft.com/office/drawing/2014/main" id="{E807F8F3-68F5-EA7E-0F0E-6D094C4875A9}"/>
              </a:ext>
            </a:extLst>
          </xdr:cNvPr>
          <xdr:cNvSpPr/>
        </xdr:nvSpPr>
        <xdr:spPr>
          <a:xfrm>
            <a:off x="5537330" y="2343150"/>
            <a:ext cx="329592" cy="997465"/>
          </a:xfrm>
          <a:custGeom>
            <a:avLst/>
            <a:gdLst>
              <a:gd name="connsiteX0" fmla="*/ 288064 w 329592"/>
              <a:gd name="connsiteY0" fmla="*/ 845058 h 997465"/>
              <a:gd name="connsiteX1" fmla="*/ 281777 w 329592"/>
              <a:gd name="connsiteY1" fmla="*/ 832866 h 997465"/>
              <a:gd name="connsiteX2" fmla="*/ 285968 w 329592"/>
              <a:gd name="connsiteY2" fmla="*/ 837819 h 997465"/>
              <a:gd name="connsiteX3" fmla="*/ 46986 w 329592"/>
              <a:gd name="connsiteY3" fmla="*/ 0 h 997465"/>
              <a:gd name="connsiteX4" fmla="*/ 1076 w 329592"/>
              <a:gd name="connsiteY4" fmla="*/ 44196 h 997465"/>
              <a:gd name="connsiteX5" fmla="*/ 68417 w 329592"/>
              <a:gd name="connsiteY5" fmla="*/ 227076 h 997465"/>
              <a:gd name="connsiteX6" fmla="*/ 81657 w 329592"/>
              <a:gd name="connsiteY6" fmla="*/ 467106 h 997465"/>
              <a:gd name="connsiteX7" fmla="*/ 14411 w 329592"/>
              <a:gd name="connsiteY7" fmla="*/ 822865 h 997465"/>
              <a:gd name="connsiteX8" fmla="*/ 210530 w 329592"/>
              <a:gd name="connsiteY8" fmla="*/ 969455 h 997465"/>
              <a:gd name="connsiteX9" fmla="*/ 329593 w 329592"/>
              <a:gd name="connsiteY9" fmla="*/ 991076 h 997465"/>
              <a:gd name="connsiteX10" fmla="*/ 288064 w 329592"/>
              <a:gd name="connsiteY10" fmla="*/ 845058 h 9974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329592" h="997465">
                <a:moveTo>
                  <a:pt x="288064" y="845058"/>
                </a:moveTo>
                <a:cubicBezTo>
                  <a:pt x="285111" y="845915"/>
                  <a:pt x="281111" y="838010"/>
                  <a:pt x="281777" y="832866"/>
                </a:cubicBezTo>
                <a:cubicBezTo>
                  <a:pt x="283111" y="834676"/>
                  <a:pt x="284540" y="836200"/>
                  <a:pt x="285968" y="837819"/>
                </a:cubicBezTo>
                <a:lnTo>
                  <a:pt x="46986" y="0"/>
                </a:lnTo>
                <a:cubicBezTo>
                  <a:pt x="19840" y="7810"/>
                  <a:pt x="-5592" y="26003"/>
                  <a:pt x="1076" y="44196"/>
                </a:cubicBezTo>
                <a:cubicBezTo>
                  <a:pt x="1647" y="45720"/>
                  <a:pt x="68417" y="227076"/>
                  <a:pt x="68417" y="227076"/>
                </a:cubicBezTo>
                <a:cubicBezTo>
                  <a:pt x="86801" y="291560"/>
                  <a:pt x="92992" y="399002"/>
                  <a:pt x="81657" y="467106"/>
                </a:cubicBezTo>
                <a:cubicBezTo>
                  <a:pt x="59369" y="601123"/>
                  <a:pt x="31460" y="759809"/>
                  <a:pt x="14411" y="822865"/>
                </a:cubicBezTo>
                <a:cubicBezTo>
                  <a:pt x="-15022" y="931450"/>
                  <a:pt x="120710" y="1024985"/>
                  <a:pt x="210530" y="969455"/>
                </a:cubicBezTo>
                <a:cubicBezTo>
                  <a:pt x="232819" y="995267"/>
                  <a:pt x="280444" y="1005078"/>
                  <a:pt x="329593" y="991076"/>
                </a:cubicBezTo>
                <a:lnTo>
                  <a:pt x="288064" y="845058"/>
                </a:lnTo>
                <a:close/>
              </a:path>
            </a:pathLst>
          </a:custGeom>
          <a:solidFill>
            <a:srgbClr val="F4C04E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09" name="Freeform 308">
            <a:extLst>
              <a:ext uri="{FF2B5EF4-FFF2-40B4-BE49-F238E27FC236}">
                <a16:creationId xmlns:a16="http://schemas.microsoft.com/office/drawing/2014/main" id="{649160AB-1A1B-B162-9005-1EC30C8DC557}"/>
              </a:ext>
            </a:extLst>
          </xdr:cNvPr>
          <xdr:cNvSpPr/>
        </xdr:nvSpPr>
        <xdr:spPr>
          <a:xfrm>
            <a:off x="5583650" y="2339367"/>
            <a:ext cx="493144" cy="994953"/>
          </a:xfrm>
          <a:custGeom>
            <a:avLst/>
            <a:gdLst>
              <a:gd name="connsiteX0" fmla="*/ 456438 w 493144"/>
              <a:gd name="connsiteY0" fmla="*/ 687106 h 994953"/>
              <a:gd name="connsiteX1" fmla="*/ 213169 w 493144"/>
              <a:gd name="connsiteY1" fmla="*/ 425740 h 994953"/>
              <a:gd name="connsiteX2" fmla="*/ 96869 w 493144"/>
              <a:gd name="connsiteY2" fmla="*/ 215523 h 994953"/>
              <a:gd name="connsiteX3" fmla="*/ 56007 w 493144"/>
              <a:gd name="connsiteY3" fmla="*/ 19213 h 994953"/>
              <a:gd name="connsiteX4" fmla="*/ 0 w 493144"/>
              <a:gd name="connsiteY4" fmla="*/ 3877 h 994953"/>
              <a:gd name="connsiteX5" fmla="*/ 238982 w 493144"/>
              <a:gd name="connsiteY5" fmla="*/ 841696 h 994953"/>
              <a:gd name="connsiteX6" fmla="*/ 244412 w 493144"/>
              <a:gd name="connsiteY6" fmla="*/ 848078 h 994953"/>
              <a:gd name="connsiteX7" fmla="*/ 241364 w 493144"/>
              <a:gd name="connsiteY7" fmla="*/ 848840 h 994953"/>
              <a:gd name="connsiteX8" fmla="*/ 240983 w 493144"/>
              <a:gd name="connsiteY8" fmla="*/ 848935 h 994953"/>
              <a:gd name="connsiteX9" fmla="*/ 282607 w 493144"/>
              <a:gd name="connsiteY9" fmla="*/ 994954 h 994953"/>
              <a:gd name="connsiteX10" fmla="*/ 282988 w 493144"/>
              <a:gd name="connsiteY10" fmla="*/ 994858 h 994953"/>
              <a:gd name="connsiteX11" fmla="*/ 372713 w 493144"/>
              <a:gd name="connsiteY11" fmla="*/ 915039 h 994953"/>
              <a:gd name="connsiteX12" fmla="*/ 456438 w 493144"/>
              <a:gd name="connsiteY12" fmla="*/ 687106 h 9949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493144" h="994953">
                <a:moveTo>
                  <a:pt x="456438" y="687106"/>
                </a:moveTo>
                <a:cubicBezTo>
                  <a:pt x="406622" y="640719"/>
                  <a:pt x="301276" y="524419"/>
                  <a:pt x="213169" y="425740"/>
                </a:cubicBezTo>
                <a:cubicBezTo>
                  <a:pt x="167164" y="374209"/>
                  <a:pt x="115252" y="280007"/>
                  <a:pt x="96869" y="215523"/>
                </a:cubicBezTo>
                <a:lnTo>
                  <a:pt x="56007" y="19213"/>
                </a:lnTo>
                <a:cubicBezTo>
                  <a:pt x="53245" y="-1457"/>
                  <a:pt x="25813" y="-3457"/>
                  <a:pt x="0" y="3877"/>
                </a:cubicBezTo>
                <a:lnTo>
                  <a:pt x="238982" y="841696"/>
                </a:lnTo>
                <a:cubicBezTo>
                  <a:pt x="240792" y="843887"/>
                  <a:pt x="242602" y="845983"/>
                  <a:pt x="244412" y="848078"/>
                </a:cubicBezTo>
                <a:cubicBezTo>
                  <a:pt x="243364" y="848364"/>
                  <a:pt x="242411" y="848554"/>
                  <a:pt x="241364" y="848840"/>
                </a:cubicBezTo>
                <a:cubicBezTo>
                  <a:pt x="241268" y="848935"/>
                  <a:pt x="241173" y="848935"/>
                  <a:pt x="240983" y="848935"/>
                </a:cubicBezTo>
                <a:lnTo>
                  <a:pt x="282607" y="994954"/>
                </a:lnTo>
                <a:cubicBezTo>
                  <a:pt x="282702" y="994954"/>
                  <a:pt x="282893" y="994954"/>
                  <a:pt x="282988" y="994858"/>
                </a:cubicBezTo>
                <a:cubicBezTo>
                  <a:pt x="331470" y="981047"/>
                  <a:pt x="366617" y="948281"/>
                  <a:pt x="372713" y="915039"/>
                </a:cubicBezTo>
                <a:cubicBezTo>
                  <a:pt x="474250" y="908562"/>
                  <a:pt x="536924" y="762163"/>
                  <a:pt x="456438" y="687106"/>
                </a:cubicBezTo>
                <a:close/>
              </a:path>
            </a:pathLst>
          </a:custGeom>
          <a:solidFill>
            <a:srgbClr val="EFBD4B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grpSp>
        <xdr:nvGrpSpPr>
          <xdr:cNvPr id="312" name="Graphic 995">
            <a:extLst>
              <a:ext uri="{FF2B5EF4-FFF2-40B4-BE49-F238E27FC236}">
                <a16:creationId xmlns:a16="http://schemas.microsoft.com/office/drawing/2014/main" id="{8D4814C3-DCC7-AA2F-C059-6855B60FCBDC}"/>
              </a:ext>
            </a:extLst>
          </xdr:cNvPr>
          <xdr:cNvGrpSpPr/>
        </xdr:nvGrpSpPr>
        <xdr:grpSpPr>
          <a:xfrm>
            <a:off x="5699153" y="3009714"/>
            <a:ext cx="184466" cy="145918"/>
            <a:chOff x="5699153" y="3009714"/>
            <a:chExt cx="184466" cy="145918"/>
          </a:xfrm>
        </xdr:grpSpPr>
        <xdr:sp macro="" textlink="">
          <xdr:nvSpPr>
            <xdr:cNvPr id="351" name="Freeform 350">
              <a:extLst>
                <a:ext uri="{FF2B5EF4-FFF2-40B4-BE49-F238E27FC236}">
                  <a16:creationId xmlns:a16="http://schemas.microsoft.com/office/drawing/2014/main" id="{4B845ABF-EB8A-CF81-7E88-6878D34A7AA6}"/>
                </a:ext>
              </a:extLst>
            </xdr:cNvPr>
            <xdr:cNvSpPr/>
          </xdr:nvSpPr>
          <xdr:spPr>
            <a:xfrm>
              <a:off x="5699153" y="3009714"/>
              <a:ext cx="184466" cy="145918"/>
            </a:xfrm>
            <a:custGeom>
              <a:avLst/>
              <a:gdLst>
                <a:gd name="connsiteX0" fmla="*/ 183391 w 184466"/>
                <a:gd name="connsiteY0" fmla="*/ 47811 h 145918"/>
                <a:gd name="connsiteX1" fmla="*/ 119288 w 184466"/>
                <a:gd name="connsiteY1" fmla="*/ 145918 h 145918"/>
                <a:gd name="connsiteX2" fmla="*/ 2130 w 184466"/>
                <a:gd name="connsiteY2" fmla="*/ 99627 h 145918"/>
                <a:gd name="connsiteX3" fmla="*/ 73091 w 184466"/>
                <a:gd name="connsiteY3" fmla="*/ 4758 h 145918"/>
                <a:gd name="connsiteX4" fmla="*/ 183391 w 184466"/>
                <a:gd name="connsiteY4" fmla="*/ 47811 h 14591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84466" h="145918">
                  <a:moveTo>
                    <a:pt x="183391" y="47811"/>
                  </a:moveTo>
                  <a:cubicBezTo>
                    <a:pt x="194249" y="85911"/>
                    <a:pt x="119288" y="145918"/>
                    <a:pt x="119288" y="145918"/>
                  </a:cubicBezTo>
                  <a:cubicBezTo>
                    <a:pt x="119288" y="145918"/>
                    <a:pt x="12989" y="137727"/>
                    <a:pt x="2130" y="99627"/>
                  </a:cubicBezTo>
                  <a:cubicBezTo>
                    <a:pt x="-8728" y="61431"/>
                    <a:pt x="22990" y="19045"/>
                    <a:pt x="73091" y="4758"/>
                  </a:cubicBezTo>
                  <a:cubicBezTo>
                    <a:pt x="123193" y="-9625"/>
                    <a:pt x="172532" y="9711"/>
                    <a:pt x="183391" y="47811"/>
                  </a:cubicBezTo>
                  <a:close/>
                </a:path>
              </a:pathLst>
            </a:custGeom>
            <a:solidFill>
              <a:srgbClr val="321A14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352" name="Freeform 351">
              <a:extLst>
                <a:ext uri="{FF2B5EF4-FFF2-40B4-BE49-F238E27FC236}">
                  <a16:creationId xmlns:a16="http://schemas.microsoft.com/office/drawing/2014/main" id="{EE884E2B-6792-9F8D-8CDF-24838DDE46FF}"/>
                </a:ext>
              </a:extLst>
            </xdr:cNvPr>
            <xdr:cNvSpPr/>
          </xdr:nvSpPr>
          <xdr:spPr>
            <a:xfrm>
              <a:off x="5794756" y="3028378"/>
              <a:ext cx="57844" cy="40671"/>
            </a:xfrm>
            <a:custGeom>
              <a:avLst/>
              <a:gdLst>
                <a:gd name="connsiteX0" fmla="*/ 57594 w 57844"/>
                <a:gd name="connsiteY0" fmla="*/ 25813 h 40671"/>
                <a:gd name="connsiteX1" fmla="*/ 25209 w 57844"/>
                <a:gd name="connsiteY1" fmla="*/ 39909 h 40671"/>
                <a:gd name="connsiteX2" fmla="*/ 253 w 57844"/>
                <a:gd name="connsiteY2" fmla="*/ 14859 h 40671"/>
                <a:gd name="connsiteX3" fmla="*/ 32638 w 57844"/>
                <a:gd name="connsiteY3" fmla="*/ 762 h 40671"/>
                <a:gd name="connsiteX4" fmla="*/ 57594 w 57844"/>
                <a:gd name="connsiteY4" fmla="*/ 25813 h 4067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57844" h="40671">
                  <a:moveTo>
                    <a:pt x="57594" y="25813"/>
                  </a:moveTo>
                  <a:cubicBezTo>
                    <a:pt x="55593" y="36576"/>
                    <a:pt x="41020" y="42957"/>
                    <a:pt x="25209" y="39909"/>
                  </a:cubicBezTo>
                  <a:cubicBezTo>
                    <a:pt x="9302" y="36861"/>
                    <a:pt x="-1842" y="25717"/>
                    <a:pt x="253" y="14859"/>
                  </a:cubicBezTo>
                  <a:cubicBezTo>
                    <a:pt x="2253" y="4096"/>
                    <a:pt x="16827" y="-2286"/>
                    <a:pt x="32638" y="762"/>
                  </a:cubicBezTo>
                  <a:cubicBezTo>
                    <a:pt x="48450" y="3715"/>
                    <a:pt x="59689" y="14954"/>
                    <a:pt x="57594" y="25813"/>
                  </a:cubicBezTo>
                  <a:close/>
                </a:path>
              </a:pathLst>
            </a:custGeom>
            <a:solidFill>
              <a:srgbClr val="F0EBC2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grpSp>
        <xdr:nvGrpSpPr>
          <xdr:cNvPr id="313" name="Graphic 995">
            <a:extLst>
              <a:ext uri="{FF2B5EF4-FFF2-40B4-BE49-F238E27FC236}">
                <a16:creationId xmlns:a16="http://schemas.microsoft.com/office/drawing/2014/main" id="{04137CDE-5F58-88FF-B80F-3A1EA9A0FB9D}"/>
              </a:ext>
            </a:extLst>
          </xdr:cNvPr>
          <xdr:cNvGrpSpPr/>
        </xdr:nvGrpSpPr>
        <xdr:grpSpPr>
          <a:xfrm>
            <a:off x="5860371" y="2639479"/>
            <a:ext cx="109116" cy="121011"/>
            <a:chOff x="5860371" y="2639479"/>
            <a:chExt cx="109116" cy="121011"/>
          </a:xfrm>
        </xdr:grpSpPr>
        <xdr:sp macro="" textlink="">
          <xdr:nvSpPr>
            <xdr:cNvPr id="349" name="Freeform 348">
              <a:extLst>
                <a:ext uri="{FF2B5EF4-FFF2-40B4-BE49-F238E27FC236}">
                  <a16:creationId xmlns:a16="http://schemas.microsoft.com/office/drawing/2014/main" id="{FD0DC80E-0683-424E-4495-171181AD10AB}"/>
                </a:ext>
              </a:extLst>
            </xdr:cNvPr>
            <xdr:cNvSpPr/>
          </xdr:nvSpPr>
          <xdr:spPr>
            <a:xfrm>
              <a:off x="5860371" y="2639479"/>
              <a:ext cx="109116" cy="121011"/>
            </a:xfrm>
            <a:custGeom>
              <a:avLst/>
              <a:gdLst>
                <a:gd name="connsiteX0" fmla="*/ 106470 w 109116"/>
                <a:gd name="connsiteY0" fmla="*/ 45713 h 121011"/>
                <a:gd name="connsiteX1" fmla="*/ 71322 w 109116"/>
                <a:gd name="connsiteY1" fmla="*/ 119151 h 121011"/>
                <a:gd name="connsiteX2" fmla="*/ 2647 w 109116"/>
                <a:gd name="connsiteY2" fmla="*/ 75336 h 121011"/>
                <a:gd name="connsiteX3" fmla="*/ 37794 w 109116"/>
                <a:gd name="connsiteY3" fmla="*/ 1898 h 121011"/>
                <a:gd name="connsiteX4" fmla="*/ 106470 w 109116"/>
                <a:gd name="connsiteY4" fmla="*/ 45713 h 12101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09116" h="121011">
                  <a:moveTo>
                    <a:pt x="106470" y="45713"/>
                  </a:moveTo>
                  <a:cubicBezTo>
                    <a:pt x="115709" y="78098"/>
                    <a:pt x="99993" y="110959"/>
                    <a:pt x="71322" y="119151"/>
                  </a:cubicBezTo>
                  <a:cubicBezTo>
                    <a:pt x="42652" y="127342"/>
                    <a:pt x="11982" y="107721"/>
                    <a:pt x="2647" y="75336"/>
                  </a:cubicBezTo>
                  <a:cubicBezTo>
                    <a:pt x="-6592" y="42951"/>
                    <a:pt x="9124" y="9994"/>
                    <a:pt x="37794" y="1898"/>
                  </a:cubicBezTo>
                  <a:cubicBezTo>
                    <a:pt x="66560" y="-6389"/>
                    <a:pt x="97230" y="13233"/>
                    <a:pt x="106470" y="45713"/>
                  </a:cubicBezTo>
                  <a:close/>
                </a:path>
              </a:pathLst>
            </a:custGeom>
            <a:solidFill>
              <a:srgbClr val="321A14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350" name="Freeform 349">
              <a:extLst>
                <a:ext uri="{FF2B5EF4-FFF2-40B4-BE49-F238E27FC236}">
                  <a16:creationId xmlns:a16="http://schemas.microsoft.com/office/drawing/2014/main" id="{8096AB94-8350-C3F3-912C-135E45CC5F1F}"/>
                </a:ext>
              </a:extLst>
            </xdr:cNvPr>
            <xdr:cNvSpPr/>
          </xdr:nvSpPr>
          <xdr:spPr>
            <a:xfrm>
              <a:off x="5911717" y="2651499"/>
              <a:ext cx="38427" cy="42722"/>
            </a:xfrm>
            <a:custGeom>
              <a:avLst/>
              <a:gdLst>
                <a:gd name="connsiteX0" fmla="*/ 37502 w 38427"/>
                <a:gd name="connsiteY0" fmla="*/ 16168 h 42722"/>
                <a:gd name="connsiteX1" fmla="*/ 25119 w 38427"/>
                <a:gd name="connsiteY1" fmla="*/ 42076 h 42722"/>
                <a:gd name="connsiteX2" fmla="*/ 926 w 38427"/>
                <a:gd name="connsiteY2" fmla="*/ 26550 h 42722"/>
                <a:gd name="connsiteX3" fmla="*/ 13309 w 38427"/>
                <a:gd name="connsiteY3" fmla="*/ 642 h 42722"/>
                <a:gd name="connsiteX4" fmla="*/ 37502 w 38427"/>
                <a:gd name="connsiteY4" fmla="*/ 16168 h 4272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38427" h="42722">
                  <a:moveTo>
                    <a:pt x="37502" y="16168"/>
                  </a:moveTo>
                  <a:cubicBezTo>
                    <a:pt x="40740" y="27598"/>
                    <a:pt x="35216" y="39218"/>
                    <a:pt x="25119" y="42076"/>
                  </a:cubicBezTo>
                  <a:cubicBezTo>
                    <a:pt x="15023" y="44933"/>
                    <a:pt x="4164" y="38075"/>
                    <a:pt x="926" y="26550"/>
                  </a:cubicBezTo>
                  <a:cubicBezTo>
                    <a:pt x="-2312" y="15120"/>
                    <a:pt x="3212" y="3499"/>
                    <a:pt x="13309" y="642"/>
                  </a:cubicBezTo>
                  <a:cubicBezTo>
                    <a:pt x="23405" y="-2216"/>
                    <a:pt x="34263" y="4738"/>
                    <a:pt x="37502" y="16168"/>
                  </a:cubicBezTo>
                  <a:close/>
                </a:path>
              </a:pathLst>
            </a:custGeom>
            <a:solidFill>
              <a:srgbClr val="F0EBC2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grpSp>
        <xdr:nvGrpSpPr>
          <xdr:cNvPr id="315" name="Graphic 995">
            <a:extLst>
              <a:ext uri="{FF2B5EF4-FFF2-40B4-BE49-F238E27FC236}">
                <a16:creationId xmlns:a16="http://schemas.microsoft.com/office/drawing/2014/main" id="{AE0D27C5-0CDD-FBD5-2F7D-7D919D499450}"/>
              </a:ext>
            </a:extLst>
          </xdr:cNvPr>
          <xdr:cNvGrpSpPr/>
        </xdr:nvGrpSpPr>
        <xdr:grpSpPr>
          <a:xfrm>
            <a:off x="5432698" y="2761437"/>
            <a:ext cx="109116" cy="120973"/>
            <a:chOff x="5432698" y="2761437"/>
            <a:chExt cx="109116" cy="120973"/>
          </a:xfrm>
        </xdr:grpSpPr>
        <xdr:sp macro="" textlink="">
          <xdr:nvSpPr>
            <xdr:cNvPr id="347" name="Freeform 346">
              <a:extLst>
                <a:ext uri="{FF2B5EF4-FFF2-40B4-BE49-F238E27FC236}">
                  <a16:creationId xmlns:a16="http://schemas.microsoft.com/office/drawing/2014/main" id="{EC26A1CE-4A10-4008-0DCB-F1AAB1DD6554}"/>
                </a:ext>
              </a:extLst>
            </xdr:cNvPr>
            <xdr:cNvSpPr/>
          </xdr:nvSpPr>
          <xdr:spPr>
            <a:xfrm>
              <a:off x="5432698" y="2761437"/>
              <a:ext cx="109116" cy="120973"/>
            </a:xfrm>
            <a:custGeom>
              <a:avLst/>
              <a:gdLst>
                <a:gd name="connsiteX0" fmla="*/ 106470 w 109116"/>
                <a:gd name="connsiteY0" fmla="*/ 45676 h 120973"/>
                <a:gd name="connsiteX1" fmla="*/ 71322 w 109116"/>
                <a:gd name="connsiteY1" fmla="*/ 119113 h 120973"/>
                <a:gd name="connsiteX2" fmla="*/ 2647 w 109116"/>
                <a:gd name="connsiteY2" fmla="*/ 75298 h 120973"/>
                <a:gd name="connsiteX3" fmla="*/ 37794 w 109116"/>
                <a:gd name="connsiteY3" fmla="*/ 1861 h 120973"/>
                <a:gd name="connsiteX4" fmla="*/ 106470 w 109116"/>
                <a:gd name="connsiteY4" fmla="*/ 45676 h 1209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09116" h="120973">
                  <a:moveTo>
                    <a:pt x="106470" y="45676"/>
                  </a:moveTo>
                  <a:cubicBezTo>
                    <a:pt x="115709" y="78061"/>
                    <a:pt x="99993" y="110922"/>
                    <a:pt x="71322" y="119113"/>
                  </a:cubicBezTo>
                  <a:cubicBezTo>
                    <a:pt x="42652" y="127305"/>
                    <a:pt x="11982" y="107683"/>
                    <a:pt x="2647" y="75298"/>
                  </a:cubicBezTo>
                  <a:cubicBezTo>
                    <a:pt x="-6592" y="42913"/>
                    <a:pt x="9124" y="9957"/>
                    <a:pt x="37794" y="1861"/>
                  </a:cubicBezTo>
                  <a:cubicBezTo>
                    <a:pt x="66560" y="-6331"/>
                    <a:pt x="97230" y="13291"/>
                    <a:pt x="106470" y="45676"/>
                  </a:cubicBezTo>
                  <a:close/>
                </a:path>
              </a:pathLst>
            </a:custGeom>
            <a:solidFill>
              <a:srgbClr val="321A14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348" name="Freeform 347">
              <a:extLst>
                <a:ext uri="{FF2B5EF4-FFF2-40B4-BE49-F238E27FC236}">
                  <a16:creationId xmlns:a16="http://schemas.microsoft.com/office/drawing/2014/main" id="{D260BA2C-283C-CB30-893B-5C10E0C0B3E0}"/>
                </a:ext>
              </a:extLst>
            </xdr:cNvPr>
            <xdr:cNvSpPr/>
          </xdr:nvSpPr>
          <xdr:spPr>
            <a:xfrm>
              <a:off x="5484045" y="2773514"/>
              <a:ext cx="38428" cy="42722"/>
            </a:xfrm>
            <a:custGeom>
              <a:avLst/>
              <a:gdLst>
                <a:gd name="connsiteX0" fmla="*/ 37502 w 38428"/>
                <a:gd name="connsiteY0" fmla="*/ 16168 h 42722"/>
                <a:gd name="connsiteX1" fmla="*/ 25120 w 38428"/>
                <a:gd name="connsiteY1" fmla="*/ 42075 h 42722"/>
                <a:gd name="connsiteX2" fmla="*/ 926 w 38428"/>
                <a:gd name="connsiteY2" fmla="*/ 26550 h 42722"/>
                <a:gd name="connsiteX3" fmla="*/ 13309 w 38428"/>
                <a:gd name="connsiteY3" fmla="*/ 642 h 42722"/>
                <a:gd name="connsiteX4" fmla="*/ 37502 w 38428"/>
                <a:gd name="connsiteY4" fmla="*/ 16168 h 4272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38428" h="42722">
                  <a:moveTo>
                    <a:pt x="37502" y="16168"/>
                  </a:moveTo>
                  <a:cubicBezTo>
                    <a:pt x="40740" y="27598"/>
                    <a:pt x="35216" y="39218"/>
                    <a:pt x="25120" y="42075"/>
                  </a:cubicBezTo>
                  <a:cubicBezTo>
                    <a:pt x="15023" y="44933"/>
                    <a:pt x="4164" y="38075"/>
                    <a:pt x="926" y="26550"/>
                  </a:cubicBezTo>
                  <a:cubicBezTo>
                    <a:pt x="-2313" y="15120"/>
                    <a:pt x="3212" y="3499"/>
                    <a:pt x="13309" y="642"/>
                  </a:cubicBezTo>
                  <a:cubicBezTo>
                    <a:pt x="23405" y="-2216"/>
                    <a:pt x="34263" y="4738"/>
                    <a:pt x="37502" y="16168"/>
                  </a:cubicBezTo>
                  <a:close/>
                </a:path>
              </a:pathLst>
            </a:custGeom>
            <a:solidFill>
              <a:srgbClr val="F0EBC2"/>
            </a:solidFill>
            <a:ln w="952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sp macro="" textlink="">
        <xdr:nvSpPr>
          <xdr:cNvPr id="332" name="Freeform 331">
            <a:extLst>
              <a:ext uri="{FF2B5EF4-FFF2-40B4-BE49-F238E27FC236}">
                <a16:creationId xmlns:a16="http://schemas.microsoft.com/office/drawing/2014/main" id="{77B1A634-A5E7-9120-79E5-5FA193DDCF23}"/>
              </a:ext>
            </a:extLst>
          </xdr:cNvPr>
          <xdr:cNvSpPr/>
        </xdr:nvSpPr>
        <xdr:spPr>
          <a:xfrm>
            <a:off x="5876258" y="2318289"/>
            <a:ext cx="523724" cy="648157"/>
          </a:xfrm>
          <a:custGeom>
            <a:avLst/>
            <a:gdLst>
              <a:gd name="connsiteX0" fmla="*/ 140113 w 523724"/>
              <a:gd name="connsiteY0" fmla="*/ 156972 h 648157"/>
              <a:gd name="connsiteX1" fmla="*/ 374523 w 523724"/>
              <a:gd name="connsiteY1" fmla="*/ 630174 h 648157"/>
              <a:gd name="connsiteX2" fmla="*/ 473107 w 523724"/>
              <a:gd name="connsiteY2" fmla="*/ 206121 h 648157"/>
              <a:gd name="connsiteX3" fmla="*/ 0 w 523724"/>
              <a:gd name="connsiteY3" fmla="*/ 0 h 648157"/>
              <a:gd name="connsiteX4" fmla="*/ 140113 w 523724"/>
              <a:gd name="connsiteY4" fmla="*/ 156972 h 64815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523724" h="648157">
                <a:moveTo>
                  <a:pt x="140113" y="156972"/>
                </a:moveTo>
                <a:cubicBezTo>
                  <a:pt x="209550" y="323469"/>
                  <a:pt x="236125" y="556451"/>
                  <a:pt x="374523" y="630174"/>
                </a:cubicBezTo>
                <a:cubicBezTo>
                  <a:pt x="588455" y="744093"/>
                  <a:pt x="524447" y="282512"/>
                  <a:pt x="473107" y="206121"/>
                </a:cubicBezTo>
                <a:cubicBezTo>
                  <a:pt x="372142" y="55816"/>
                  <a:pt x="164306" y="25146"/>
                  <a:pt x="0" y="0"/>
                </a:cubicBezTo>
                <a:cubicBezTo>
                  <a:pt x="83915" y="48768"/>
                  <a:pt x="116015" y="99250"/>
                  <a:pt x="140113" y="156972"/>
                </a:cubicBezTo>
                <a:close/>
              </a:path>
            </a:pathLst>
          </a:custGeom>
          <a:solidFill>
            <a:srgbClr val="A5291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33" name="Freeform 332">
            <a:extLst>
              <a:ext uri="{FF2B5EF4-FFF2-40B4-BE49-F238E27FC236}">
                <a16:creationId xmlns:a16="http://schemas.microsoft.com/office/drawing/2014/main" id="{D5A92384-FBBD-10A3-1646-80FC244536E8}"/>
              </a:ext>
            </a:extLst>
          </xdr:cNvPr>
          <xdr:cNvSpPr/>
        </xdr:nvSpPr>
        <xdr:spPr>
          <a:xfrm>
            <a:off x="4992963" y="2486596"/>
            <a:ext cx="337023" cy="790227"/>
          </a:xfrm>
          <a:custGeom>
            <a:avLst/>
            <a:gdLst>
              <a:gd name="connsiteX0" fmla="*/ 257026 w 337023"/>
              <a:gd name="connsiteY0" fmla="*/ 207264 h 790227"/>
              <a:gd name="connsiteX1" fmla="*/ 307508 w 337023"/>
              <a:gd name="connsiteY1" fmla="*/ 732854 h 790227"/>
              <a:gd name="connsiteX2" fmla="*/ 41 w 337023"/>
              <a:gd name="connsiteY2" fmla="*/ 424625 h 790227"/>
              <a:gd name="connsiteX3" fmla="*/ 293221 w 337023"/>
              <a:gd name="connsiteY3" fmla="*/ 0 h 790227"/>
              <a:gd name="connsiteX4" fmla="*/ 257026 w 337023"/>
              <a:gd name="connsiteY4" fmla="*/ 207264 h 79022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37023" h="790227">
                <a:moveTo>
                  <a:pt x="257026" y="207264"/>
                </a:moveTo>
                <a:cubicBezTo>
                  <a:pt x="285886" y="385381"/>
                  <a:pt x="386185" y="597313"/>
                  <a:pt x="307508" y="732854"/>
                </a:cubicBezTo>
                <a:cubicBezTo>
                  <a:pt x="185779" y="942594"/>
                  <a:pt x="-3197" y="516636"/>
                  <a:pt x="41" y="424625"/>
                </a:cubicBezTo>
                <a:cubicBezTo>
                  <a:pt x="6518" y="243745"/>
                  <a:pt x="166919" y="108014"/>
                  <a:pt x="293221" y="0"/>
                </a:cubicBezTo>
                <a:cubicBezTo>
                  <a:pt x="247596" y="85725"/>
                  <a:pt x="247024" y="145542"/>
                  <a:pt x="257026" y="207264"/>
                </a:cubicBezTo>
                <a:close/>
              </a:path>
            </a:pathLst>
          </a:custGeom>
          <a:solidFill>
            <a:srgbClr val="F76943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34" name="Freeform 333">
            <a:extLst>
              <a:ext uri="{FF2B5EF4-FFF2-40B4-BE49-F238E27FC236}">
                <a16:creationId xmlns:a16="http://schemas.microsoft.com/office/drawing/2014/main" id="{A3E4FC2E-6EC1-5739-3C40-C3BC20E1D105}"/>
              </a:ext>
            </a:extLst>
          </xdr:cNvPr>
          <xdr:cNvSpPr/>
        </xdr:nvSpPr>
        <xdr:spPr>
          <a:xfrm>
            <a:off x="5939680" y="3051835"/>
            <a:ext cx="24794" cy="24753"/>
          </a:xfrm>
          <a:custGeom>
            <a:avLst/>
            <a:gdLst>
              <a:gd name="connsiteX0" fmla="*/ 24303 w 24794"/>
              <a:gd name="connsiteY0" fmla="*/ 8928 h 24753"/>
              <a:gd name="connsiteX1" fmla="*/ 15826 w 24794"/>
              <a:gd name="connsiteY1" fmla="*/ 24263 h 24753"/>
              <a:gd name="connsiteX2" fmla="*/ 491 w 24794"/>
              <a:gd name="connsiteY2" fmla="*/ 15786 h 24753"/>
              <a:gd name="connsiteX3" fmla="*/ 8968 w 24794"/>
              <a:gd name="connsiteY3" fmla="*/ 450 h 24753"/>
              <a:gd name="connsiteX4" fmla="*/ 24303 w 24794"/>
              <a:gd name="connsiteY4" fmla="*/ 8928 h 247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794" h="24753">
                <a:moveTo>
                  <a:pt x="24303" y="8928"/>
                </a:moveTo>
                <a:cubicBezTo>
                  <a:pt x="26208" y="15595"/>
                  <a:pt x="22398" y="22453"/>
                  <a:pt x="15826" y="24263"/>
                </a:cubicBezTo>
                <a:cubicBezTo>
                  <a:pt x="9254" y="26168"/>
                  <a:pt x="2396" y="22358"/>
                  <a:pt x="491" y="15786"/>
                </a:cubicBezTo>
                <a:cubicBezTo>
                  <a:pt x="-1414" y="9213"/>
                  <a:pt x="2396" y="2355"/>
                  <a:pt x="8968" y="450"/>
                </a:cubicBezTo>
                <a:cubicBezTo>
                  <a:pt x="15636" y="-1359"/>
                  <a:pt x="22494" y="2451"/>
                  <a:pt x="24303" y="8928"/>
                </a:cubicBezTo>
                <a:close/>
              </a:path>
            </a:pathLst>
          </a:custGeom>
          <a:solidFill>
            <a:srgbClr val="6D443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35" name="Freeform 334">
            <a:extLst>
              <a:ext uri="{FF2B5EF4-FFF2-40B4-BE49-F238E27FC236}">
                <a16:creationId xmlns:a16="http://schemas.microsoft.com/office/drawing/2014/main" id="{E3612438-8F00-9D74-FE28-8D86873C5EF5}"/>
              </a:ext>
            </a:extLst>
          </xdr:cNvPr>
          <xdr:cNvSpPr/>
        </xdr:nvSpPr>
        <xdr:spPr>
          <a:xfrm>
            <a:off x="6009688" y="3077268"/>
            <a:ext cx="24889" cy="24840"/>
          </a:xfrm>
          <a:custGeom>
            <a:avLst/>
            <a:gdLst>
              <a:gd name="connsiteX0" fmla="*/ 24399 w 24889"/>
              <a:gd name="connsiteY0" fmla="*/ 9022 h 24840"/>
              <a:gd name="connsiteX1" fmla="*/ 15826 w 24889"/>
              <a:gd name="connsiteY1" fmla="*/ 24358 h 24840"/>
              <a:gd name="connsiteX2" fmla="*/ 491 w 24889"/>
              <a:gd name="connsiteY2" fmla="*/ 15785 h 24840"/>
              <a:gd name="connsiteX3" fmla="*/ 8968 w 24889"/>
              <a:gd name="connsiteY3" fmla="*/ 450 h 24840"/>
              <a:gd name="connsiteX4" fmla="*/ 24399 w 24889"/>
              <a:gd name="connsiteY4" fmla="*/ 9022 h 2484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889" h="24840">
                <a:moveTo>
                  <a:pt x="24399" y="9022"/>
                </a:moveTo>
                <a:cubicBezTo>
                  <a:pt x="26304" y="15595"/>
                  <a:pt x="22494" y="22453"/>
                  <a:pt x="15826" y="24358"/>
                </a:cubicBezTo>
                <a:cubicBezTo>
                  <a:pt x="9254" y="26263"/>
                  <a:pt x="2396" y="22357"/>
                  <a:pt x="491" y="15785"/>
                </a:cubicBezTo>
                <a:cubicBezTo>
                  <a:pt x="-1414" y="9213"/>
                  <a:pt x="2396" y="2355"/>
                  <a:pt x="8968" y="450"/>
                </a:cubicBezTo>
                <a:cubicBezTo>
                  <a:pt x="15636" y="-1360"/>
                  <a:pt x="22494" y="2450"/>
                  <a:pt x="24399" y="9022"/>
                </a:cubicBezTo>
                <a:close/>
              </a:path>
            </a:pathLst>
          </a:custGeom>
          <a:solidFill>
            <a:srgbClr val="6D443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36" name="Freeform 335">
            <a:extLst>
              <a:ext uri="{FF2B5EF4-FFF2-40B4-BE49-F238E27FC236}">
                <a16:creationId xmlns:a16="http://schemas.microsoft.com/office/drawing/2014/main" id="{75E8FA73-E6E2-28AA-9F3A-CD73F3B4BF52}"/>
              </a:ext>
            </a:extLst>
          </xdr:cNvPr>
          <xdr:cNvSpPr/>
        </xdr:nvSpPr>
        <xdr:spPr>
          <a:xfrm>
            <a:off x="5960349" y="3120280"/>
            <a:ext cx="24793" cy="24794"/>
          </a:xfrm>
          <a:custGeom>
            <a:avLst/>
            <a:gdLst>
              <a:gd name="connsiteX0" fmla="*/ 24303 w 24793"/>
              <a:gd name="connsiteY0" fmla="*/ 8968 h 24794"/>
              <a:gd name="connsiteX1" fmla="*/ 15731 w 24793"/>
              <a:gd name="connsiteY1" fmla="*/ 24303 h 24794"/>
              <a:gd name="connsiteX2" fmla="*/ 491 w 24793"/>
              <a:gd name="connsiteY2" fmla="*/ 15826 h 24794"/>
              <a:gd name="connsiteX3" fmla="*/ 8968 w 24793"/>
              <a:gd name="connsiteY3" fmla="*/ 491 h 24794"/>
              <a:gd name="connsiteX4" fmla="*/ 24303 w 24793"/>
              <a:gd name="connsiteY4" fmla="*/ 8968 h 247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793" h="24794">
                <a:moveTo>
                  <a:pt x="24303" y="8968"/>
                </a:moveTo>
                <a:cubicBezTo>
                  <a:pt x="26208" y="15540"/>
                  <a:pt x="22398" y="22398"/>
                  <a:pt x="15731" y="24303"/>
                </a:cubicBezTo>
                <a:cubicBezTo>
                  <a:pt x="9159" y="26208"/>
                  <a:pt x="2301" y="22398"/>
                  <a:pt x="491" y="15826"/>
                </a:cubicBezTo>
                <a:cubicBezTo>
                  <a:pt x="-1414" y="9254"/>
                  <a:pt x="2396" y="2396"/>
                  <a:pt x="8968" y="491"/>
                </a:cubicBezTo>
                <a:cubicBezTo>
                  <a:pt x="15636" y="-1414"/>
                  <a:pt x="22494" y="2396"/>
                  <a:pt x="24303" y="8968"/>
                </a:cubicBezTo>
                <a:close/>
              </a:path>
            </a:pathLst>
          </a:custGeom>
          <a:solidFill>
            <a:srgbClr val="6D443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37" name="Freeform 336">
            <a:extLst>
              <a:ext uri="{FF2B5EF4-FFF2-40B4-BE49-F238E27FC236}">
                <a16:creationId xmlns:a16="http://schemas.microsoft.com/office/drawing/2014/main" id="{803EDECA-6BCC-89CE-B985-7EF917EA3596}"/>
              </a:ext>
            </a:extLst>
          </xdr:cNvPr>
          <xdr:cNvSpPr/>
        </xdr:nvSpPr>
        <xdr:spPr>
          <a:xfrm>
            <a:off x="5646119" y="3135520"/>
            <a:ext cx="24794" cy="24794"/>
          </a:xfrm>
          <a:custGeom>
            <a:avLst/>
            <a:gdLst>
              <a:gd name="connsiteX0" fmla="*/ 491 w 24794"/>
              <a:gd name="connsiteY0" fmla="*/ 15826 h 24794"/>
              <a:gd name="connsiteX1" fmla="*/ 15826 w 24794"/>
              <a:gd name="connsiteY1" fmla="*/ 24303 h 24794"/>
              <a:gd name="connsiteX2" fmla="*/ 24303 w 24794"/>
              <a:gd name="connsiteY2" fmla="*/ 8968 h 24794"/>
              <a:gd name="connsiteX3" fmla="*/ 8968 w 24794"/>
              <a:gd name="connsiteY3" fmla="*/ 491 h 24794"/>
              <a:gd name="connsiteX4" fmla="*/ 491 w 24794"/>
              <a:gd name="connsiteY4" fmla="*/ 15826 h 247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794" h="24794">
                <a:moveTo>
                  <a:pt x="491" y="15826"/>
                </a:moveTo>
                <a:cubicBezTo>
                  <a:pt x="2396" y="22398"/>
                  <a:pt x="9254" y="26208"/>
                  <a:pt x="15826" y="24303"/>
                </a:cubicBezTo>
                <a:cubicBezTo>
                  <a:pt x="22398" y="22494"/>
                  <a:pt x="26208" y="15636"/>
                  <a:pt x="24303" y="8968"/>
                </a:cubicBezTo>
                <a:cubicBezTo>
                  <a:pt x="22398" y="2396"/>
                  <a:pt x="15540" y="-1414"/>
                  <a:pt x="8968" y="491"/>
                </a:cubicBezTo>
                <a:cubicBezTo>
                  <a:pt x="2396" y="2396"/>
                  <a:pt x="-1414" y="9254"/>
                  <a:pt x="491" y="15826"/>
                </a:cubicBezTo>
                <a:close/>
              </a:path>
            </a:pathLst>
          </a:custGeom>
          <a:solidFill>
            <a:srgbClr val="6D443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38" name="Freeform 337">
            <a:extLst>
              <a:ext uri="{FF2B5EF4-FFF2-40B4-BE49-F238E27FC236}">
                <a16:creationId xmlns:a16="http://schemas.microsoft.com/office/drawing/2014/main" id="{26F9A065-9017-0D33-59A5-6691C53523BC}"/>
              </a:ext>
            </a:extLst>
          </xdr:cNvPr>
          <xdr:cNvSpPr/>
        </xdr:nvSpPr>
        <xdr:spPr>
          <a:xfrm>
            <a:off x="5600059" y="3194194"/>
            <a:ext cx="24753" cy="24786"/>
          </a:xfrm>
          <a:custGeom>
            <a:avLst/>
            <a:gdLst>
              <a:gd name="connsiteX0" fmla="*/ 450 w 24753"/>
              <a:gd name="connsiteY0" fmla="*/ 15731 h 24786"/>
              <a:gd name="connsiteX1" fmla="*/ 15785 w 24753"/>
              <a:gd name="connsiteY1" fmla="*/ 24303 h 24786"/>
              <a:gd name="connsiteX2" fmla="*/ 24262 w 24753"/>
              <a:gd name="connsiteY2" fmla="*/ 8968 h 24786"/>
              <a:gd name="connsiteX3" fmla="*/ 9022 w 24753"/>
              <a:gd name="connsiteY3" fmla="*/ 491 h 24786"/>
              <a:gd name="connsiteX4" fmla="*/ 450 w 24753"/>
              <a:gd name="connsiteY4" fmla="*/ 15731 h 2478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753" h="24786">
                <a:moveTo>
                  <a:pt x="450" y="15731"/>
                </a:moveTo>
                <a:cubicBezTo>
                  <a:pt x="2355" y="22303"/>
                  <a:pt x="9213" y="26208"/>
                  <a:pt x="15785" y="24303"/>
                </a:cubicBezTo>
                <a:cubicBezTo>
                  <a:pt x="22357" y="22398"/>
                  <a:pt x="26167" y="15540"/>
                  <a:pt x="24262" y="8968"/>
                </a:cubicBezTo>
                <a:cubicBezTo>
                  <a:pt x="22357" y="2396"/>
                  <a:pt x="15499" y="-1414"/>
                  <a:pt x="9022" y="491"/>
                </a:cubicBezTo>
                <a:cubicBezTo>
                  <a:pt x="2450" y="2396"/>
                  <a:pt x="-1360" y="9159"/>
                  <a:pt x="450" y="15731"/>
                </a:cubicBezTo>
                <a:close/>
              </a:path>
            </a:pathLst>
          </a:custGeom>
          <a:solidFill>
            <a:srgbClr val="6D443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39" name="Freeform 338">
            <a:extLst>
              <a:ext uri="{FF2B5EF4-FFF2-40B4-BE49-F238E27FC236}">
                <a16:creationId xmlns:a16="http://schemas.microsoft.com/office/drawing/2014/main" id="{CAABC227-114B-D61F-98C3-FCB4F36A07BA}"/>
              </a:ext>
            </a:extLst>
          </xdr:cNvPr>
          <xdr:cNvSpPr/>
        </xdr:nvSpPr>
        <xdr:spPr>
          <a:xfrm>
            <a:off x="5664692" y="3204576"/>
            <a:ext cx="24699" cy="24794"/>
          </a:xfrm>
          <a:custGeom>
            <a:avLst/>
            <a:gdLst>
              <a:gd name="connsiteX0" fmla="*/ 491 w 24699"/>
              <a:gd name="connsiteY0" fmla="*/ 15826 h 24794"/>
              <a:gd name="connsiteX1" fmla="*/ 15731 w 24699"/>
              <a:gd name="connsiteY1" fmla="*/ 24303 h 24794"/>
              <a:gd name="connsiteX2" fmla="*/ 24209 w 24699"/>
              <a:gd name="connsiteY2" fmla="*/ 8968 h 24794"/>
              <a:gd name="connsiteX3" fmla="*/ 8873 w 24699"/>
              <a:gd name="connsiteY3" fmla="*/ 491 h 24794"/>
              <a:gd name="connsiteX4" fmla="*/ 491 w 24699"/>
              <a:gd name="connsiteY4" fmla="*/ 15826 h 247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699" h="24794">
                <a:moveTo>
                  <a:pt x="491" y="15826"/>
                </a:moveTo>
                <a:cubicBezTo>
                  <a:pt x="2396" y="22398"/>
                  <a:pt x="9254" y="26208"/>
                  <a:pt x="15731" y="24303"/>
                </a:cubicBezTo>
                <a:cubicBezTo>
                  <a:pt x="22304" y="22398"/>
                  <a:pt x="26114" y="15636"/>
                  <a:pt x="24209" y="8968"/>
                </a:cubicBezTo>
                <a:cubicBezTo>
                  <a:pt x="22304" y="2396"/>
                  <a:pt x="15541" y="-1414"/>
                  <a:pt x="8873" y="491"/>
                </a:cubicBezTo>
                <a:cubicBezTo>
                  <a:pt x="2396" y="2396"/>
                  <a:pt x="-1414" y="9254"/>
                  <a:pt x="491" y="15826"/>
                </a:cubicBezTo>
                <a:close/>
              </a:path>
            </a:pathLst>
          </a:custGeom>
          <a:solidFill>
            <a:srgbClr val="6D443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46" name="Freeform 345">
            <a:extLst>
              <a:ext uri="{FF2B5EF4-FFF2-40B4-BE49-F238E27FC236}">
                <a16:creationId xmlns:a16="http://schemas.microsoft.com/office/drawing/2014/main" id="{15780951-0410-673E-85C4-99D648CA02AC}"/>
              </a:ext>
            </a:extLst>
          </xdr:cNvPr>
          <xdr:cNvSpPr/>
        </xdr:nvSpPr>
        <xdr:spPr>
          <a:xfrm>
            <a:off x="5781437" y="3173539"/>
            <a:ext cx="116905" cy="82692"/>
          </a:xfrm>
          <a:custGeom>
            <a:avLst/>
            <a:gdLst>
              <a:gd name="connsiteX0" fmla="*/ 39195 w 116905"/>
              <a:gd name="connsiteY0" fmla="*/ 0 h 82692"/>
              <a:gd name="connsiteX1" fmla="*/ 116347 w 116905"/>
              <a:gd name="connsiteY1" fmla="*/ 52769 h 82692"/>
              <a:gd name="connsiteX2" fmla="*/ 49291 w 116905"/>
              <a:gd name="connsiteY2" fmla="*/ 35433 h 82692"/>
              <a:gd name="connsiteX3" fmla="*/ 47 w 116905"/>
              <a:gd name="connsiteY3" fmla="*/ 82582 h 82692"/>
              <a:gd name="connsiteX4" fmla="*/ 39195 w 116905"/>
              <a:gd name="connsiteY4" fmla="*/ 0 h 8269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16905" h="82692">
                <a:moveTo>
                  <a:pt x="39195" y="0"/>
                </a:moveTo>
                <a:cubicBezTo>
                  <a:pt x="39195" y="0"/>
                  <a:pt x="56435" y="25051"/>
                  <a:pt x="116347" y="52769"/>
                </a:cubicBezTo>
                <a:cubicBezTo>
                  <a:pt x="124062" y="56293"/>
                  <a:pt x="49291" y="35433"/>
                  <a:pt x="49291" y="35433"/>
                </a:cubicBezTo>
                <a:cubicBezTo>
                  <a:pt x="49291" y="35433"/>
                  <a:pt x="-1763" y="85344"/>
                  <a:pt x="47" y="82582"/>
                </a:cubicBezTo>
                <a:cubicBezTo>
                  <a:pt x="35099" y="30671"/>
                  <a:pt x="39195" y="0"/>
                  <a:pt x="39195" y="0"/>
                </a:cubicBezTo>
                <a:close/>
              </a:path>
            </a:pathLst>
          </a:custGeom>
          <a:solidFill>
            <a:srgbClr val="321A1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9_calendar">
  <a:themeElements>
    <a:clrScheme name="Summer Color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E5B434"/>
      </a:accent1>
      <a:accent2>
        <a:srgbClr val="DCCA73"/>
      </a:accent2>
      <a:accent3>
        <a:srgbClr val="F5BDA1"/>
      </a:accent3>
      <a:accent4>
        <a:srgbClr val="E63729"/>
      </a:accent4>
      <a:accent5>
        <a:srgbClr val="3D8D4B"/>
      </a:accent5>
      <a:accent6>
        <a:srgbClr val="57B8DD"/>
      </a:accent6>
      <a:hlink>
        <a:srgbClr val="0563C1"/>
      </a:hlink>
      <a:folHlink>
        <a:srgbClr val="954F72"/>
      </a:folHlink>
    </a:clrScheme>
    <a:fontScheme name="Custom 34">
      <a:majorFont>
        <a:latin typeface="Dreaming Outloud Scrip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8"/>
  <sheetViews>
    <sheetView showGridLines="0" tabSelected="1" topLeftCell="D12" zoomScaleNormal="100" workbookViewId="0">
      <selection activeCell="H22" sqref="H22"/>
    </sheetView>
  </sheetViews>
  <sheetFormatPr defaultColWidth="8.6640625" defaultRowHeight="13" x14ac:dyDescent="0.3"/>
  <cols>
    <col min="1" max="1" width="3.9140625" customWidth="1"/>
    <col min="2" max="2" width="2.58203125" style="43" hidden="1" customWidth="1"/>
    <col min="3" max="9" width="40" customWidth="1"/>
    <col min="10" max="11" width="3.9140625" customWidth="1"/>
    <col min="12" max="16" width="7.1640625" customWidth="1"/>
    <col min="17" max="17" width="3.9140625" customWidth="1"/>
  </cols>
  <sheetData>
    <row r="1" spans="1:16" ht="30" customHeight="1" x14ac:dyDescent="0.3">
      <c r="A1" s="6"/>
      <c r="B1" s="39"/>
      <c r="C1" s="6"/>
      <c r="D1" s="6"/>
      <c r="E1" s="6"/>
      <c r="F1" s="6"/>
      <c r="G1" s="6"/>
      <c r="H1" s="6"/>
      <c r="I1" s="6"/>
      <c r="J1" s="6"/>
      <c r="K1" s="5"/>
    </row>
    <row r="2" spans="1:16" s="3" customFormat="1" ht="80.150000000000006" customHeight="1" x14ac:dyDescent="1.85">
      <c r="A2" s="2"/>
      <c r="B2" s="40"/>
      <c r="C2" s="48" t="s">
        <v>2</v>
      </c>
      <c r="D2" s="48"/>
      <c r="E2" s="48"/>
      <c r="F2" s="48"/>
      <c r="G2" s="48"/>
      <c r="H2" s="48"/>
      <c r="I2" s="48"/>
      <c r="J2" s="2"/>
      <c r="K2" s="4"/>
      <c r="L2" s="47" t="s">
        <v>1</v>
      </c>
      <c r="M2" s="47"/>
      <c r="N2" s="47"/>
      <c r="O2" s="47"/>
      <c r="P2" s="47"/>
    </row>
    <row r="3" spans="1:16" ht="50.15" customHeight="1" x14ac:dyDescent="0.3">
      <c r="A3" s="6"/>
      <c r="B3" s="41"/>
      <c r="C3" s="49">
        <f ca="1">IF(MONTH(TODAY())&gt;9,YEAR(TODAY())+1,YEAR(TODAY()))</f>
        <v>2025</v>
      </c>
      <c r="D3" s="49"/>
      <c r="E3" s="49"/>
      <c r="F3" s="49"/>
      <c r="G3" s="49"/>
      <c r="H3" s="49"/>
      <c r="I3" s="49"/>
      <c r="J3" s="6"/>
      <c r="K3" s="5"/>
      <c r="L3" s="47"/>
      <c r="M3" s="47"/>
      <c r="N3" s="47"/>
      <c r="O3" s="47"/>
      <c r="P3" s="47"/>
    </row>
    <row r="4" spans="1:16" ht="45" customHeight="1" x14ac:dyDescent="0.3">
      <c r="A4" s="6"/>
      <c r="B4" s="41"/>
      <c r="C4" s="34" t="s">
        <v>0</v>
      </c>
      <c r="D4" s="35" t="str">
        <f t="shared" ref="D4:I4" ca="1" si="0">TEXT(D5,"dddd")</f>
        <v>Monday</v>
      </c>
      <c r="E4" s="36" t="str">
        <f t="shared" ca="1" si="0"/>
        <v>Tuesday</v>
      </c>
      <c r="F4" s="37" t="str">
        <f t="shared" ca="1" si="0"/>
        <v>Wednesday</v>
      </c>
      <c r="G4" s="38" t="str">
        <f t="shared" ca="1" si="0"/>
        <v>Thursday</v>
      </c>
      <c r="H4" s="34" t="str">
        <f t="shared" ca="1" si="0"/>
        <v>Friday</v>
      </c>
      <c r="I4" s="35" t="str">
        <f t="shared" ca="1" si="0"/>
        <v>Saturday</v>
      </c>
      <c r="J4" s="6"/>
      <c r="K4" s="5"/>
    </row>
    <row r="5" spans="1:16" s="11" customFormat="1" ht="20.149999999999999" customHeight="1" x14ac:dyDescent="0.3">
      <c r="A5" s="7"/>
      <c r="B5" s="42"/>
      <c r="C5" s="8">
        <f t="array" aca="1" ref="C5:I5" ca="1">DaysAndWeeks+DATE(CalendarYear,6,1)-WEEKDAY(DATE(CalendarYear,6,1),(WeekStart="Monday")+1)+8</f>
        <v>45816</v>
      </c>
      <c r="D5" s="9">
        <f ca="1"/>
        <v>45817</v>
      </c>
      <c r="E5" s="9">
        <f ca="1"/>
        <v>45818</v>
      </c>
      <c r="F5" s="9">
        <f ca="1"/>
        <v>45819</v>
      </c>
      <c r="G5" s="10">
        <f ca="1"/>
        <v>45820</v>
      </c>
      <c r="H5" s="9">
        <f ca="1"/>
        <v>45821</v>
      </c>
      <c r="I5" s="9">
        <f ca="1"/>
        <v>45822</v>
      </c>
      <c r="J5" s="6"/>
      <c r="K5" s="5"/>
    </row>
    <row r="6" spans="1:16" ht="50.15" customHeight="1" x14ac:dyDescent="0.3">
      <c r="A6" s="6"/>
      <c r="B6" s="41"/>
      <c r="C6" s="44"/>
      <c r="D6" s="44"/>
      <c r="E6" s="44"/>
      <c r="F6" s="44"/>
      <c r="G6" s="44"/>
      <c r="H6" s="12"/>
      <c r="I6" s="12"/>
      <c r="J6" s="6"/>
      <c r="K6" s="5"/>
    </row>
    <row r="7" spans="1:16" s="11" customFormat="1" ht="20.149999999999999" customHeight="1" x14ac:dyDescent="0.3">
      <c r="A7" s="7"/>
      <c r="B7" s="42">
        <f ca="1">I5</f>
        <v>45822</v>
      </c>
      <c r="C7" s="9">
        <f ca="1">B7+1</f>
        <v>45823</v>
      </c>
      <c r="D7" s="9">
        <f ca="1">+C7+1</f>
        <v>45824</v>
      </c>
      <c r="E7" s="9">
        <f ca="1">+D7+1</f>
        <v>45825</v>
      </c>
      <c r="F7" s="9">
        <f ca="1">+E7+1</f>
        <v>45826</v>
      </c>
      <c r="G7" s="10">
        <f ca="1">+F7+1</f>
        <v>45827</v>
      </c>
      <c r="H7" s="13">
        <f ca="1">G7+1</f>
        <v>45828</v>
      </c>
      <c r="I7" s="14">
        <f ca="1">H7+1</f>
        <v>45829</v>
      </c>
      <c r="J7" s="6"/>
      <c r="K7" s="5"/>
    </row>
    <row r="8" spans="1:16" ht="50.25" customHeight="1" x14ac:dyDescent="0.3">
      <c r="A8" s="6"/>
      <c r="B8" s="41"/>
      <c r="C8" s="12"/>
      <c r="D8" s="12"/>
      <c r="E8" s="12"/>
      <c r="F8" s="12"/>
      <c r="G8" s="15"/>
      <c r="H8" s="16"/>
      <c r="I8" s="17"/>
      <c r="J8" s="6"/>
      <c r="K8" s="5"/>
    </row>
    <row r="9" spans="1:16" s="11" customFormat="1" ht="20.149999999999999" customHeight="1" x14ac:dyDescent="0.3">
      <c r="A9" s="7"/>
      <c r="B9" s="42">
        <f ca="1">I7</f>
        <v>45829</v>
      </c>
      <c r="C9" s="18">
        <f ca="1">B9+1</f>
        <v>45830</v>
      </c>
      <c r="D9" s="19">
        <f ca="1">+C9+1</f>
        <v>45831</v>
      </c>
      <c r="E9" s="19">
        <f ca="1">+D9+1</f>
        <v>45832</v>
      </c>
      <c r="F9" s="19">
        <f ca="1">+E9+1</f>
        <v>45833</v>
      </c>
      <c r="G9" s="19">
        <f ca="1">+F9+1</f>
        <v>45834</v>
      </c>
      <c r="H9" s="19">
        <f ca="1">G9+1</f>
        <v>45835</v>
      </c>
      <c r="I9" s="20">
        <f ca="1">H9+1</f>
        <v>45836</v>
      </c>
      <c r="J9" s="6"/>
      <c r="K9" s="5"/>
    </row>
    <row r="10" spans="1:16" ht="50.25" customHeight="1" x14ac:dyDescent="0.3">
      <c r="A10" s="6"/>
      <c r="B10" s="41"/>
      <c r="C10" s="21"/>
      <c r="D10" s="22"/>
      <c r="E10" s="22"/>
      <c r="F10" s="22"/>
      <c r="G10" s="22"/>
      <c r="H10" s="22"/>
      <c r="I10" s="23"/>
      <c r="J10" s="6"/>
      <c r="K10" s="5"/>
    </row>
    <row r="11" spans="1:16" s="11" customFormat="1" ht="20.149999999999999" customHeight="1" x14ac:dyDescent="0.3">
      <c r="A11" s="7"/>
      <c r="B11" s="42">
        <f ca="1">I9</f>
        <v>45836</v>
      </c>
      <c r="C11" s="18">
        <f ca="1">B11+1</f>
        <v>45837</v>
      </c>
      <c r="D11" s="19">
        <f ca="1">+C11+1</f>
        <v>45838</v>
      </c>
      <c r="E11" s="19">
        <f ca="1">+D11+1</f>
        <v>45839</v>
      </c>
      <c r="F11" s="19">
        <f ca="1">+E11+1</f>
        <v>45840</v>
      </c>
      <c r="G11" s="19">
        <f ca="1">+F11+1</f>
        <v>45841</v>
      </c>
      <c r="H11" s="19">
        <f ca="1">G11+1</f>
        <v>45842</v>
      </c>
      <c r="I11" s="20">
        <f ca="1">H11+1</f>
        <v>45843</v>
      </c>
      <c r="J11" s="6"/>
      <c r="K11" s="5"/>
    </row>
    <row r="12" spans="1:16" ht="50.25" customHeight="1" x14ac:dyDescent="0.3">
      <c r="A12" s="6"/>
      <c r="B12" s="41"/>
      <c r="C12" s="24"/>
      <c r="D12" s="25"/>
      <c r="E12" s="26"/>
      <c r="F12" s="27"/>
      <c r="G12" s="27"/>
      <c r="H12" s="27"/>
      <c r="I12" s="27"/>
      <c r="J12" s="6"/>
      <c r="K12" s="5"/>
    </row>
    <row r="13" spans="1:16" s="11" customFormat="1" ht="20.149999999999999" customHeight="1" x14ac:dyDescent="0.3">
      <c r="A13" s="7"/>
      <c r="B13" s="42">
        <f ca="1">I11</f>
        <v>45843</v>
      </c>
      <c r="C13" s="14">
        <f ca="1">B13+1</f>
        <v>45844</v>
      </c>
      <c r="D13" s="28">
        <f ca="1">+C13+1</f>
        <v>45845</v>
      </c>
      <c r="E13" s="14">
        <f ca="1">+D13+1</f>
        <v>45846</v>
      </c>
      <c r="F13" s="14">
        <f ca="1">+E13+1</f>
        <v>45847</v>
      </c>
      <c r="G13" s="14">
        <f ca="1">+F13+1</f>
        <v>45848</v>
      </c>
      <c r="H13" s="14">
        <f ca="1">G13+1</f>
        <v>45849</v>
      </c>
      <c r="I13" s="14">
        <f ca="1">H13+1</f>
        <v>45850</v>
      </c>
      <c r="J13" s="6"/>
      <c r="K13" s="5"/>
    </row>
    <row r="14" spans="1:16" ht="50.25" customHeight="1" x14ac:dyDescent="0.3">
      <c r="A14" s="6"/>
      <c r="B14" s="41"/>
      <c r="C14" s="27"/>
      <c r="D14" s="27"/>
      <c r="E14" s="27"/>
      <c r="F14" s="27"/>
      <c r="G14" s="27"/>
      <c r="H14" s="27"/>
      <c r="I14" s="27"/>
      <c r="J14" s="6"/>
      <c r="K14" s="5"/>
    </row>
    <row r="15" spans="1:16" s="11" customFormat="1" ht="20.149999999999999" customHeight="1" x14ac:dyDescent="0.3">
      <c r="A15" s="7"/>
      <c r="B15" s="42">
        <f ca="1">I13</f>
        <v>45850</v>
      </c>
      <c r="C15" s="14">
        <f ca="1">B15+1</f>
        <v>45851</v>
      </c>
      <c r="D15" s="14">
        <f ca="1">+C15+1</f>
        <v>45852</v>
      </c>
      <c r="E15" s="14">
        <f ca="1">+D15+1</f>
        <v>45853</v>
      </c>
      <c r="F15" s="14">
        <f ca="1">+E15+1</f>
        <v>45854</v>
      </c>
      <c r="G15" s="14">
        <f ca="1">+F15+1</f>
        <v>45855</v>
      </c>
      <c r="H15" s="14">
        <f ca="1">G15+1</f>
        <v>45856</v>
      </c>
      <c r="I15" s="14">
        <f ca="1">H15+1</f>
        <v>45857</v>
      </c>
      <c r="J15" s="6"/>
      <c r="K15" s="5"/>
    </row>
    <row r="16" spans="1:16" ht="50.25" customHeight="1" x14ac:dyDescent="0.8">
      <c r="A16" s="6"/>
      <c r="B16" s="41"/>
      <c r="C16" s="27"/>
      <c r="D16" s="27"/>
      <c r="E16" s="27"/>
      <c r="F16" s="27"/>
      <c r="G16" s="27"/>
      <c r="H16" s="27"/>
      <c r="I16" s="27"/>
      <c r="J16" s="6"/>
      <c r="K16" s="5"/>
      <c r="O16" s="1"/>
    </row>
    <row r="17" spans="1:11" s="11" customFormat="1" ht="20.149999999999999" customHeight="1" x14ac:dyDescent="0.3">
      <c r="A17" s="7"/>
      <c r="B17" s="42">
        <f ca="1">I15</f>
        <v>45857</v>
      </c>
      <c r="C17" s="14">
        <f ca="1">B17+1</f>
        <v>45858</v>
      </c>
      <c r="D17" s="14">
        <f ca="1">+C17+1</f>
        <v>45859</v>
      </c>
      <c r="E17" s="14">
        <f ca="1">+D17+1</f>
        <v>45860</v>
      </c>
      <c r="F17" s="29">
        <f ca="1">+E17+1</f>
        <v>45861</v>
      </c>
      <c r="G17" s="30">
        <f ca="1">+F17+1</f>
        <v>45862</v>
      </c>
      <c r="H17" s="14">
        <f ca="1">G17+1</f>
        <v>45863</v>
      </c>
      <c r="I17" s="14">
        <f ca="1">H17+1</f>
        <v>45864</v>
      </c>
      <c r="J17" s="6"/>
      <c r="K17" s="5"/>
    </row>
    <row r="18" spans="1:11" ht="50.25" customHeight="1" x14ac:dyDescent="0.3">
      <c r="A18" s="6"/>
      <c r="B18" s="41"/>
      <c r="C18" s="27"/>
      <c r="D18" s="45" t="s">
        <v>16</v>
      </c>
      <c r="E18" s="46" t="s">
        <v>3</v>
      </c>
      <c r="F18" s="24" t="s">
        <v>17</v>
      </c>
      <c r="G18" s="31" t="s">
        <v>18</v>
      </c>
      <c r="H18" s="27" t="s">
        <v>19</v>
      </c>
      <c r="I18" s="27" t="s">
        <v>14</v>
      </c>
      <c r="J18" s="6"/>
      <c r="K18" s="5"/>
    </row>
    <row r="19" spans="1:11" s="11" customFormat="1" ht="20.149999999999999" customHeight="1" x14ac:dyDescent="0.3">
      <c r="A19" s="7"/>
      <c r="B19" s="42">
        <f ca="1">I17</f>
        <v>45864</v>
      </c>
      <c r="C19" s="14">
        <f ca="1">B19+1</f>
        <v>45865</v>
      </c>
      <c r="D19" s="14">
        <f ca="1">+C19+1</f>
        <v>45866</v>
      </c>
      <c r="E19" s="14">
        <f ca="1">+D19+1</f>
        <v>45867</v>
      </c>
      <c r="F19" s="29">
        <f ca="1">+E19+1</f>
        <v>45868</v>
      </c>
      <c r="G19" s="30">
        <f ca="1">+F19+1</f>
        <v>45869</v>
      </c>
      <c r="H19" s="14">
        <f ca="1">G19+1</f>
        <v>45870</v>
      </c>
      <c r="I19" s="14">
        <f ca="1">H19+1</f>
        <v>45871</v>
      </c>
      <c r="J19" s="6"/>
      <c r="K19" s="5"/>
    </row>
    <row r="20" spans="1:11" ht="50.25" customHeight="1" x14ac:dyDescent="0.3">
      <c r="A20" s="6"/>
      <c r="B20" s="41"/>
      <c r="C20" s="27"/>
      <c r="D20" s="46" t="s">
        <v>4</v>
      </c>
      <c r="E20" s="46" t="s">
        <v>5</v>
      </c>
      <c r="F20" s="50" t="s">
        <v>6</v>
      </c>
      <c r="G20" s="51" t="s">
        <v>7</v>
      </c>
      <c r="H20" s="27" t="s">
        <v>20</v>
      </c>
      <c r="I20" s="27"/>
      <c r="J20" s="6"/>
      <c r="K20" s="5"/>
    </row>
    <row r="21" spans="1:11" s="11" customFormat="1" ht="20.149999999999999" customHeight="1" x14ac:dyDescent="0.3">
      <c r="A21" s="7"/>
      <c r="B21" s="42">
        <f ca="1">I19</f>
        <v>45871</v>
      </c>
      <c r="C21" s="14">
        <f ca="1">B21+1</f>
        <v>45872</v>
      </c>
      <c r="D21" s="14">
        <f ca="1">+C21+1</f>
        <v>45873</v>
      </c>
      <c r="E21" s="14">
        <f ca="1">+D21+1</f>
        <v>45874</v>
      </c>
      <c r="F21" s="29">
        <f ca="1">+E21+1</f>
        <v>45875</v>
      </c>
      <c r="G21" s="30">
        <f ca="1">+F21+1</f>
        <v>45876</v>
      </c>
      <c r="H21" s="14">
        <f ca="1">G21+1</f>
        <v>45877</v>
      </c>
      <c r="I21" s="14">
        <f ca="1">H21+1</f>
        <v>45878</v>
      </c>
      <c r="J21" s="6"/>
      <c r="K21" s="5"/>
    </row>
    <row r="22" spans="1:11" ht="50.25" customHeight="1" x14ac:dyDescent="0.3">
      <c r="A22" s="6"/>
      <c r="B22" s="41"/>
      <c r="C22" s="27"/>
      <c r="D22" s="27" t="s">
        <v>8</v>
      </c>
      <c r="E22" s="27" t="s">
        <v>9</v>
      </c>
      <c r="F22" s="24" t="s">
        <v>10</v>
      </c>
      <c r="G22" s="31" t="s">
        <v>11</v>
      </c>
      <c r="H22" s="27" t="s">
        <v>15</v>
      </c>
      <c r="I22" s="27"/>
      <c r="J22" s="6"/>
      <c r="K22" s="5"/>
    </row>
    <row r="23" spans="1:11" s="11" customFormat="1" ht="20.149999999999999" customHeight="1" x14ac:dyDescent="0.3">
      <c r="A23" s="7"/>
      <c r="B23" s="42">
        <f ca="1">I21</f>
        <v>45878</v>
      </c>
      <c r="C23" s="14">
        <f ca="1">B23+1</f>
        <v>45879</v>
      </c>
      <c r="D23" s="14">
        <f ca="1">+C23+1</f>
        <v>45880</v>
      </c>
      <c r="E23" s="14">
        <f ca="1">+D23+1</f>
        <v>45881</v>
      </c>
      <c r="F23" s="14">
        <f ca="1">+E23+1</f>
        <v>45882</v>
      </c>
      <c r="G23" s="14">
        <f ca="1">+F23+1</f>
        <v>45883</v>
      </c>
      <c r="H23" s="14">
        <f ca="1">G23+1</f>
        <v>45884</v>
      </c>
      <c r="I23" s="14">
        <f ca="1">H23+1</f>
        <v>45885</v>
      </c>
      <c r="J23" s="6"/>
      <c r="K23" s="5"/>
    </row>
    <row r="24" spans="1:11" ht="50.25" customHeight="1" x14ac:dyDescent="0.3">
      <c r="A24" s="6"/>
      <c r="B24" s="41"/>
      <c r="C24" s="27"/>
      <c r="D24" s="27" t="s">
        <v>12</v>
      </c>
      <c r="E24" s="27" t="s">
        <v>13</v>
      </c>
      <c r="F24" s="27"/>
      <c r="G24" s="27"/>
      <c r="H24" s="27"/>
      <c r="I24" s="27"/>
      <c r="J24" s="6"/>
      <c r="K24" s="5"/>
    </row>
    <row r="25" spans="1:11" s="11" customFormat="1" ht="20.149999999999999" customHeight="1" x14ac:dyDescent="0.3">
      <c r="A25" s="7"/>
      <c r="B25" s="42">
        <f ca="1">I23</f>
        <v>45885</v>
      </c>
      <c r="C25" s="14">
        <f ca="1">B25+1</f>
        <v>45886</v>
      </c>
      <c r="D25" s="14">
        <f ca="1">+C25+1</f>
        <v>45887</v>
      </c>
      <c r="E25" s="14">
        <f ca="1">+D25+1</f>
        <v>45888</v>
      </c>
      <c r="F25" s="14">
        <f ca="1">+E25+1</f>
        <v>45889</v>
      </c>
      <c r="G25" s="14">
        <f ca="1">+F25+1</f>
        <v>45890</v>
      </c>
      <c r="H25" s="14">
        <f ca="1">G25+1</f>
        <v>45891</v>
      </c>
      <c r="I25" s="14">
        <f ca="1">H25+1</f>
        <v>45892</v>
      </c>
      <c r="J25" s="6"/>
      <c r="K25" s="5"/>
    </row>
    <row r="26" spans="1:11" ht="50.25" customHeight="1" x14ac:dyDescent="0.3">
      <c r="A26" s="6"/>
      <c r="B26" s="41"/>
      <c r="C26" s="27"/>
      <c r="D26" s="27"/>
      <c r="E26" s="27"/>
      <c r="F26" s="27"/>
      <c r="G26" s="27"/>
      <c r="H26" s="27"/>
      <c r="I26" s="27"/>
      <c r="J26" s="6"/>
      <c r="K26" s="5"/>
    </row>
    <row r="27" spans="1:11" s="11" customFormat="1" ht="20.149999999999999" customHeight="1" x14ac:dyDescent="0.3">
      <c r="A27" s="7"/>
      <c r="B27" s="42">
        <f ca="1">I25</f>
        <v>45892</v>
      </c>
      <c r="C27" s="30">
        <f ca="1">B27+1</f>
        <v>45893</v>
      </c>
      <c r="D27" s="14">
        <f ca="1">+C27+1</f>
        <v>45894</v>
      </c>
      <c r="E27" s="14">
        <f ca="1">+D27+1</f>
        <v>45895</v>
      </c>
      <c r="F27" s="14">
        <f ca="1">+E27+1</f>
        <v>45896</v>
      </c>
      <c r="G27" s="14">
        <f ca="1">+F27+1</f>
        <v>45897</v>
      </c>
      <c r="H27" s="14">
        <f ca="1">G27+1</f>
        <v>45898</v>
      </c>
      <c r="I27" s="14">
        <f ca="1">H27+1</f>
        <v>45899</v>
      </c>
      <c r="J27" s="6"/>
      <c r="K27" s="5"/>
    </row>
    <row r="28" spans="1:11" ht="50.25" customHeight="1" x14ac:dyDescent="0.3">
      <c r="A28" s="6"/>
      <c r="B28" s="41"/>
      <c r="C28" s="31"/>
      <c r="D28" s="27"/>
      <c r="E28" s="27"/>
      <c r="F28" s="27"/>
      <c r="G28" s="27"/>
      <c r="H28" s="27"/>
      <c r="I28" s="27"/>
      <c r="J28" s="6"/>
      <c r="K28" s="5"/>
    </row>
    <row r="29" spans="1:11" s="11" customFormat="1" ht="20.149999999999999" customHeight="1" x14ac:dyDescent="0.3">
      <c r="A29" s="7"/>
      <c r="B29" s="42">
        <f ca="1">I27</f>
        <v>45899</v>
      </c>
      <c r="C29" s="30">
        <f ca="1">B29+1</f>
        <v>45900</v>
      </c>
      <c r="D29" s="14">
        <f ca="1">+C29+1</f>
        <v>45901</v>
      </c>
      <c r="E29" s="14">
        <f ca="1">+D29+1</f>
        <v>45902</v>
      </c>
      <c r="F29" s="14">
        <f ca="1">+E29+1</f>
        <v>45903</v>
      </c>
      <c r="G29" s="14">
        <f ca="1">+F29+1</f>
        <v>45904</v>
      </c>
      <c r="H29" s="14">
        <f ca="1">G29+1</f>
        <v>45905</v>
      </c>
      <c r="I29" s="14">
        <f ca="1">H29+1</f>
        <v>45906</v>
      </c>
      <c r="J29" s="6"/>
      <c r="K29" s="5"/>
    </row>
    <row r="30" spans="1:11" ht="50.25" customHeight="1" x14ac:dyDescent="0.3">
      <c r="A30" s="6"/>
      <c r="B30" s="41"/>
      <c r="C30" s="31"/>
      <c r="D30" s="27"/>
      <c r="E30" s="27"/>
      <c r="F30" s="27"/>
      <c r="G30" s="27"/>
      <c r="H30" s="27"/>
      <c r="I30" s="27"/>
      <c r="J30" s="6"/>
      <c r="K30" s="5"/>
    </row>
    <row r="31" spans="1:11" s="11" customFormat="1" ht="20.149999999999999" customHeight="1" x14ac:dyDescent="0.3">
      <c r="A31" s="7"/>
      <c r="B31" s="42">
        <f ca="1">I29</f>
        <v>45906</v>
      </c>
      <c r="C31" s="30">
        <f ca="1">B31+1</f>
        <v>45907</v>
      </c>
      <c r="D31" s="14">
        <f ca="1">+C31+1</f>
        <v>45908</v>
      </c>
      <c r="E31" s="14">
        <f ca="1">+D31+1</f>
        <v>45909</v>
      </c>
      <c r="F31" s="14">
        <f ca="1">+E31+1</f>
        <v>45910</v>
      </c>
      <c r="G31" s="14">
        <f ca="1">+F31+1</f>
        <v>45911</v>
      </c>
      <c r="H31" s="14">
        <f ca="1">G31+1</f>
        <v>45912</v>
      </c>
      <c r="I31" s="14">
        <f ca="1">H31+1</f>
        <v>45913</v>
      </c>
      <c r="J31" s="6"/>
      <c r="K31" s="5"/>
    </row>
    <row r="32" spans="1:11" ht="50.25" customHeight="1" x14ac:dyDescent="0.3">
      <c r="A32" s="6"/>
      <c r="B32" s="41"/>
      <c r="C32" s="31"/>
      <c r="D32" s="27"/>
      <c r="E32" s="27"/>
      <c r="F32" s="27"/>
      <c r="G32" s="27"/>
      <c r="H32" s="27"/>
      <c r="I32" s="27"/>
      <c r="J32" s="6"/>
      <c r="K32" s="5"/>
    </row>
    <row r="33" spans="1:11" s="11" customFormat="1" ht="20.149999999999999" customHeight="1" x14ac:dyDescent="0.3">
      <c r="A33" s="7"/>
      <c r="B33" s="42">
        <f ca="1">I31</f>
        <v>45913</v>
      </c>
      <c r="C33" s="14">
        <f ca="1">B33+1</f>
        <v>45914</v>
      </c>
      <c r="D33" s="14">
        <f ca="1">+C33+1</f>
        <v>45915</v>
      </c>
      <c r="E33" s="14">
        <f ca="1">+D33+1</f>
        <v>45916</v>
      </c>
      <c r="F33" s="14">
        <f ca="1">+E33+1</f>
        <v>45917</v>
      </c>
      <c r="G33" s="14">
        <f ca="1">+F33+1</f>
        <v>45918</v>
      </c>
      <c r="H33" s="14">
        <f ca="1">G33+1</f>
        <v>45919</v>
      </c>
      <c r="I33" s="14">
        <f ca="1">H33+1</f>
        <v>45920</v>
      </c>
      <c r="J33" s="6"/>
      <c r="K33" s="5"/>
    </row>
    <row r="34" spans="1:11" ht="50.25" customHeight="1" x14ac:dyDescent="0.3">
      <c r="A34" s="6"/>
      <c r="B34" s="41"/>
      <c r="C34" s="27"/>
      <c r="D34" s="27"/>
      <c r="E34" s="27"/>
      <c r="F34" s="27"/>
      <c r="G34" s="27"/>
      <c r="H34" s="27"/>
      <c r="I34" s="27"/>
      <c r="J34" s="6"/>
      <c r="K34" s="5"/>
    </row>
    <row r="35" spans="1:11" s="11" customFormat="1" ht="20.149999999999999" customHeight="1" x14ac:dyDescent="0.3">
      <c r="A35" s="7"/>
      <c r="B35" s="42">
        <f ca="1">I33</f>
        <v>45920</v>
      </c>
      <c r="C35" s="14">
        <f ca="1">B35+1</f>
        <v>45921</v>
      </c>
      <c r="D35" s="14">
        <f ca="1">+C35+1</f>
        <v>45922</v>
      </c>
      <c r="E35" s="32">
        <f ca="1">+D35+1</f>
        <v>45923</v>
      </c>
      <c r="F35" s="32">
        <f ca="1">+E35+1</f>
        <v>45924</v>
      </c>
      <c r="G35" s="32">
        <f ca="1">+F35+1</f>
        <v>45925</v>
      </c>
      <c r="H35" s="32">
        <f ca="1">G35+1</f>
        <v>45926</v>
      </c>
      <c r="I35" s="32">
        <f ca="1">H35+1</f>
        <v>45927</v>
      </c>
      <c r="J35" s="6"/>
      <c r="K35" s="5"/>
    </row>
    <row r="36" spans="1:11" ht="50.25" customHeight="1" x14ac:dyDescent="0.3">
      <c r="A36" s="6"/>
      <c r="B36" s="41"/>
      <c r="C36" s="27"/>
      <c r="D36" s="27"/>
      <c r="E36" s="33"/>
      <c r="F36" s="33"/>
      <c r="G36" s="33"/>
      <c r="H36" s="33"/>
      <c r="I36" s="33"/>
      <c r="J36" s="6"/>
      <c r="K36" s="5"/>
    </row>
    <row r="37" spans="1:11" x14ac:dyDescent="0.3">
      <c r="A37" s="6"/>
      <c r="B37" s="41"/>
      <c r="C37" s="6"/>
      <c r="D37" s="6"/>
      <c r="E37" s="6"/>
      <c r="F37" s="6"/>
      <c r="G37" s="6"/>
      <c r="H37" s="6"/>
      <c r="I37" s="6"/>
      <c r="J37" s="6"/>
      <c r="K37" s="5"/>
    </row>
    <row r="38" spans="1:11" x14ac:dyDescent="0.3">
      <c r="A38" s="6"/>
      <c r="B38" s="41"/>
      <c r="C38" s="6"/>
      <c r="D38" s="6"/>
      <c r="E38" s="6"/>
      <c r="F38" s="6"/>
      <c r="G38" s="6"/>
      <c r="H38" s="6"/>
      <c r="I38" s="6"/>
      <c r="J38" s="6"/>
      <c r="K38" s="5"/>
    </row>
  </sheetData>
  <mergeCells count="3">
    <mergeCell ref="L2:P3"/>
    <mergeCell ref="C2:I2"/>
    <mergeCell ref="C3:I3"/>
  </mergeCells>
  <conditionalFormatting sqref="C5:I5">
    <cfRule type="expression" dxfId="7" priority="1">
      <formula>MONTH(B5)&lt;&gt;MONTH(C5)</formula>
    </cfRule>
    <cfRule type="expression" dxfId="6" priority="2">
      <formula>C6&lt;&gt;""</formula>
    </cfRule>
  </conditionalFormatting>
  <conditionalFormatting sqref="C6:I6">
    <cfRule type="expression" dxfId="5" priority="3">
      <formula>MONTH(B5)&lt;&gt;MONTH(C5)</formula>
    </cfRule>
    <cfRule type="notContainsBlanks" dxfId="4" priority="4">
      <formula>LEN(TRIM(C6))&gt;0</formula>
    </cfRule>
  </conditionalFormatting>
  <conditionalFormatting sqref="C7:I7 C9:I9 C11:I11 C13:I13 C15:I15 C17:I17 C19:I19 C21:I21 C23:I23 C25:I25 C27:I27 C29:I29 C31:I31 C33:I33 C35:I35">
    <cfRule type="expression" dxfId="3" priority="18">
      <formula>MONTH(B7)&lt;&gt;MONTH(C7)</formula>
    </cfRule>
    <cfRule type="expression" dxfId="2" priority="20">
      <formula>C8&lt;&gt;""</formula>
    </cfRule>
  </conditionalFormatting>
  <conditionalFormatting sqref="C8:I8 C10:I10 C12:I12 C14:I14 C16:I16 C18:I18 C20:I20 C22:I22 C24:I24 C26:I26 C28:I28 C30:I30 C32:I32 C34:I34 C36:I36">
    <cfRule type="expression" dxfId="1" priority="19">
      <formula>MONTH(B7)&lt;&gt;MONTH(C7)</formula>
    </cfRule>
    <cfRule type="notContainsBlanks" dxfId="0" priority="24">
      <formula>LEN(TRIM(C8))&gt;0</formula>
    </cfRule>
  </conditionalFormatting>
  <dataValidations count="3">
    <dataValidation type="list" allowBlank="1" showInputMessage="1" showErrorMessage="1" prompt="Select first day of the week" sqref="C4" xr:uid="{00000000-0002-0000-0000-000001000000}">
      <formula1>"Sunday, Monday"</formula1>
    </dataValidation>
    <dataValidation allowBlank="1" showInputMessage="1" showErrorMessage="1" prompt="Update this cell with the calendar year by typing in the year" sqref="C3" xr:uid="{00000000-0002-0000-0000-000004000000}"/>
    <dataValidation allowBlank="1" showInputMessage="1" showErrorMessage="1" prompt="Enter activity notes for each day.  When you add these notes for specific days, the template will automatically shade the date for emphasis." sqref="A1" xr:uid="{E6ED4019-15D9-4785-850B-5D36B84D237D}"/>
  </dataValidations>
  <printOptions horizontalCentered="1"/>
  <pageMargins left="0.25" right="0.25" top="0.75" bottom="0.75" header="0.3" footer="0.3"/>
  <pageSetup paperSize="9"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A5FD82-1F22-49EA-9704-A6D55C618F6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AD7FBEAE-5747-42F6-91A2-F7FF653B21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0B3BCB-887D-4038-91F1-3D87DD8F4E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TM44868094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Summer holiday</vt:lpstr>
      <vt:lpstr>CalendarYear</vt:lpstr>
      <vt:lpstr>'Summer holiday'!Print_Area</vt:lpstr>
      <vt:lpstr>'Summer holiday'!WeekStart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BllazingIce777 Not Necessary</dc:creator>
  <cp:lastModifiedBy>BllazingIce777 Not Necessary</cp:lastModifiedBy>
  <dcterms:created xsi:type="dcterms:W3CDTF">2023-08-07T15:32:04Z</dcterms:created>
  <dcterms:modified xsi:type="dcterms:W3CDTF">2025-07-31T03:34:28Z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